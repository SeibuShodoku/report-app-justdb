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防除作業報告書1" sheetId="2" r:id="rId5"/>
    <sheet state="visible" name="防除作業報告書2  " sheetId="3" r:id="rId6"/>
    <sheet state="visible" name="防除作業報告書3 " sheetId="4" r:id="rId7"/>
    <sheet state="visible" name="防除作業報告書4" sheetId="5" r:id="rId8"/>
    <sheet state="visible" name="防除作業報告書5" sheetId="6" r:id="rId9"/>
    <sheet state="visible" name="防除作業報告書6" sheetId="7" r:id="rId10"/>
    <sheet state="visible" name="防除作業報告書7" sheetId="8" r:id="rId11"/>
    <sheet state="visible" name="防除作業報告書8" sheetId="9" r:id="rId12"/>
    <sheet state="visible" name="防除作業報告書9" sheetId="10" r:id="rId13"/>
    <sheet state="visible" name="防除作業報告書10" sheetId="11" r:id="rId14"/>
  </sheets>
  <definedNames/>
  <calcPr/>
  <extLst>
    <ext uri="GoogleSheetsCustomDataVersion2">
      <go:sheetsCustomData xmlns:go="http://customooxmlschemas.google.com/" r:id="rId15" roundtripDataChecksum="zuFbbEgOz8KGO65cG8zrTlSkNVxL3QKEIgMviDuwbmc="/>
    </ext>
  </extLst>
</workbook>
</file>

<file path=xl/sharedStrings.xml><?xml version="1.0" encoding="utf-8"?>
<sst xmlns="http://schemas.openxmlformats.org/spreadsheetml/2006/main" count="348" uniqueCount="69">
  <si>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</si>
  <si>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</si>
  <si>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</si>
  <si>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</si>
  <si>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</si>
  <si>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</si>
  <si>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</si>
  <si>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</si>
  <si>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</si>
  <si>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</si>
  <si>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⑪</t>
  </si>
  <si>
    <t>⑫</t>
  </si>
  <si>
    <t>㈰</t>
  </si>
  <si>
    <t>宛先</t>
  </si>
  <si>
    <t>心行寺</t>
  </si>
  <si>
    <t>御中</t>
  </si>
  <si>
    <t>報告書1</t>
  </si>
  <si>
    <t>施工場所</t>
  </si>
  <si>
    <t>江東区南砂</t>
  </si>
  <si>
    <t>時間</t>
  </si>
  <si>
    <t>作業者</t>
  </si>
  <si>
    <t>対 象 害 虫</t>
  </si>
  <si>
    <t>使 用 薬 剤</t>
  </si>
  <si>
    <t>処 理 方 法</t>
  </si>
  <si>
    <t>薬 剤 使 用 量</t>
  </si>
  <si>
    <t>備      考</t>
  </si>
  <si>
    <t>9：00</t>
  </si>
  <si>
    <t>紺谷直人</t>
  </si>
  <si>
    <t>ネズミ</t>
  </si>
  <si>
    <t>クマリン系粉剤</t>
  </si>
  <si>
    <t>交換</t>
  </si>
  <si>
    <t>100ｇ</t>
  </si>
  <si>
    <t>薬剤喫食なし</t>
  </si>
  <si>
    <t>10：00</t>
  </si>
  <si>
    <t>－</t>
  </si>
  <si>
    <t>報告書2</t>
  </si>
  <si>
    <t>備考欄</t>
  </si>
  <si>
    <t>報告書3</t>
  </si>
  <si>
    <t>報告書4</t>
  </si>
  <si>
    <t>報告書5</t>
  </si>
  <si>
    <t>報告書6</t>
  </si>
  <si>
    <t>報告書7</t>
  </si>
  <si>
    <t>報告書8</t>
  </si>
  <si>
    <t>報告書9</t>
  </si>
  <si>
    <t>報告書10</t>
  </si>
  <si>
    <t>ゴキブリ</t>
  </si>
  <si>
    <t>ヒドラメチルノン</t>
  </si>
  <si>
    <t>配置</t>
  </si>
  <si>
    <t>10ｇ</t>
  </si>
  <si>
    <t>生息なし</t>
  </si>
  <si>
    <t>＋</t>
  </si>
  <si>
    <t>「ビル管理法」・「食品衛生法」・「労働安全衛生法」に定める備付帳簿用</t>
  </si>
  <si>
    <t xml:space="preserve">       </t>
  </si>
  <si>
    <t>防 除 作 業 完 了 報 告 書</t>
  </si>
  <si>
    <t>お客様控</t>
  </si>
  <si>
    <t>管理責任者</t>
  </si>
  <si>
    <t>杉山　豊</t>
  </si>
  <si>
    <t>作業責任者</t>
  </si>
  <si>
    <t>作業員</t>
  </si>
  <si>
    <t>毎度お引立に預り有難うございます。下記の通り作業完了いたしましたので結果と共に報告いたします。</t>
  </si>
  <si>
    <t>施　工　日　時</t>
  </si>
  <si>
    <t>作業時間</t>
  </si>
  <si>
    <t>～</t>
  </si>
  <si>
    <t>施　工　場　所</t>
  </si>
  <si>
    <t>施　　工　　内　　容</t>
  </si>
  <si>
    <t>生　　息　　状　　況</t>
  </si>
  <si>
    <t>上記の通り実施いたしました。</t>
  </si>
  <si>
    <t>効果判定</t>
  </si>
  <si>
    <t>-　・　+　・　++　・　+++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</si>
</sst>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ggge&quot;年&quot;m&quot;月&quot;d&quot;日&quot;\(aaa\)"/>
  </numFmts>
  <fonts count="20">
    <font>
      <sz val="11.0"/>
      <color rgb="FF000000"/>
      <name val="MS PGothic"/>
      <scheme val="minor"/>
    </font>
    <font>
      <sz val="11.0"/>
      <color theme="1"/>
      <name val="MS PGothic"/>
    </font>
    <font>
      <color theme="1"/>
      <name val="MS PGothic"/>
    </font>
    <font>
      <color theme="1"/>
      <name val="MS PGothic"/>
      <scheme val="minor"/>
    </font>
    <font/>
    <font>
      <sz val="10.0"/>
      <color theme="1"/>
      <name val="MS PGothic"/>
    </font>
    <font>
      <sz val="11.0"/>
      <color theme="1"/>
      <name val="MS PMincho"/>
    </font>
    <font>
      <b/>
      <sz val="20.0"/>
      <color theme="1"/>
      <name val="MS PMincho"/>
    </font>
    <font>
      <b/>
      <u/>
      <sz val="20.0"/>
      <color theme="1"/>
      <name val="MS PMincho"/>
    </font>
    <font>
      <b/>
      <sz val="11.0"/>
      <color theme="1"/>
      <name val="MS PMincho"/>
    </font>
    <font>
      <sz val="14.0"/>
      <color theme="1"/>
      <name val="MS PMincho"/>
    </font>
    <font>
      <sz val="12.0"/>
      <color theme="1"/>
      <name val="MS PMincho"/>
    </font>
    <font>
      <sz val="13.0"/>
      <color theme="1"/>
      <name val="MS PMincho"/>
    </font>
    <font>
      <sz val="8.0"/>
      <color theme="1"/>
      <name val="MS PMincho"/>
    </font>
    <font>
      <sz val="9.0"/>
      <color theme="1"/>
      <name val="MS PMincho"/>
    </font>
    <font>
      <sz val="10.0"/>
      <color theme="1"/>
      <name val="MS PMincho"/>
    </font>
    <font>
      <b/>
      <sz val="14.0"/>
      <color theme="1"/>
      <name val="MS PMincho"/>
    </font>
    <font>
      <sz val="16.0"/>
      <color theme="1"/>
      <name val="MS PMincho"/>
    </font>
    <font>
      <b/>
      <sz val="10.0"/>
      <color theme="1"/>
      <name val="MS PMincho"/>
    </font>
    <font>
      <sz val="7.0"/>
      <color theme="1"/>
      <name val="MS PMincho"/>
    </font>
  </fonts>
  <fills count="2">
    <fill>
      <patternFill patternType="none"/>
    </fill>
    <fill>
      <patternFill patternType="lightGray"/>
    </fill>
  </fills>
  <borders count="47">
    <border/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vertical="center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horizontal="right" vertical="center"/>
    </xf>
    <xf borderId="5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4" fillId="0" fontId="3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readingOrder="0"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7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14" fillId="0" fontId="6" numFmtId="0" xfId="0" applyAlignment="1" applyBorder="1" applyFont="1">
      <alignment horizontal="center"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17" fillId="0" fontId="1" numFmtId="164" xfId="0" applyAlignment="1" applyBorder="1" applyFont="1" applyNumberFormat="1">
      <alignment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9" fillId="0" fontId="4" numFmtId="0" xfId="0" applyAlignment="1" applyBorder="1" applyFont="1">
      <alignment vertical="center"/>
    </xf>
    <xf borderId="6" fillId="0" fontId="6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  <xf borderId="15" fillId="0" fontId="1" numFmtId="0" xfId="0" applyAlignment="1" applyBorder="1" applyFont="1">
      <alignment horizontal="right" vertical="center"/>
    </xf>
    <xf borderId="21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8" fillId="0" fontId="1" numFmtId="20" xfId="0" applyAlignment="1" applyBorder="1" applyFont="1" applyNumberFormat="1">
      <alignment horizontal="center" vertical="center"/>
    </xf>
    <xf borderId="12" fillId="0" fontId="1" numFmtId="20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0" fillId="0" fontId="4" numFmtId="0" xfId="0" applyAlignment="1" applyBorder="1" applyFont="1">
      <alignment vertical="center"/>
    </xf>
    <xf borderId="17" fillId="0" fontId="1" numFmtId="0" xfId="0" applyAlignment="1" applyBorder="1" applyFont="1">
      <alignment horizontal="right" vertical="center"/>
    </xf>
    <xf borderId="17" fillId="0" fontId="1" numFmtId="164" xfId="0" applyAlignment="1" applyBorder="1" applyFont="1" applyNumberFormat="1">
      <alignment readingOrder="0" vertical="center"/>
    </xf>
    <xf borderId="18" fillId="0" fontId="1" numFmtId="20" xfId="0" applyAlignment="1" applyBorder="1" applyFont="1" applyNumberFormat="1">
      <alignment horizontal="center" readingOrder="0" vertical="center"/>
    </xf>
    <xf borderId="19" fillId="0" fontId="1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left" readingOrder="0" vertical="center"/>
    </xf>
    <xf borderId="17" fillId="0" fontId="1" numFmtId="0" xfId="0" applyAlignment="1" applyBorder="1" applyFont="1">
      <alignment horizontal="right" readingOrder="0" vertical="center"/>
    </xf>
    <xf borderId="12" fillId="0" fontId="1" numFmtId="20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bottom" wrapText="1"/>
    </xf>
    <xf borderId="4" fillId="0" fontId="11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22" fillId="0" fontId="6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6" fillId="0" fontId="13" numFmtId="0" xfId="0" applyAlignment="1" applyBorder="1" applyFont="1">
      <alignment horizontal="center" vertical="center"/>
    </xf>
    <xf borderId="17" fillId="0" fontId="4" numFmtId="0" xfId="0" applyAlignment="1" applyBorder="1" applyFont="1">
      <alignment vertical="center"/>
    </xf>
    <xf borderId="6" fillId="0" fontId="10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6" fillId="0" fontId="10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25" fillId="0" fontId="9" numFmtId="0" xfId="0" applyAlignment="1" applyBorder="1" applyFont="1">
      <alignment horizontal="center" vertical="center"/>
    </xf>
    <xf borderId="14" fillId="0" fontId="6" numFmtId="165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vertical="center"/>
    </xf>
    <xf borderId="15" fillId="0" fontId="6" numFmtId="0" xfId="0" applyAlignment="1" applyBorder="1" applyFont="1">
      <alignment horizontal="center" vertical="center"/>
    </xf>
    <xf borderId="15" fillId="0" fontId="6" numFmtId="20" xfId="0" applyAlignment="1" applyBorder="1" applyFont="1" applyNumberFormat="1">
      <alignment horizontal="center" vertical="center"/>
    </xf>
    <xf borderId="15" fillId="0" fontId="6" numFmtId="0" xfId="0" applyAlignment="1" applyBorder="1" applyFont="1">
      <alignment vertical="center"/>
    </xf>
    <xf borderId="26" fillId="0" fontId="4" numFmtId="0" xfId="0" applyAlignment="1" applyBorder="1" applyFont="1">
      <alignment vertical="center"/>
    </xf>
    <xf borderId="27" fillId="0" fontId="9" numFmtId="0" xfId="0" applyAlignment="1" applyBorder="1" applyFont="1">
      <alignment horizontal="center" vertical="center"/>
    </xf>
    <xf borderId="28" fillId="0" fontId="4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6" fillId="0" fontId="6" numFmtId="0" xfId="0" applyAlignment="1" applyBorder="1" applyFont="1">
      <alignment horizontal="left" shrinkToFit="0" vertical="center" wrapText="1"/>
    </xf>
    <xf borderId="30" fillId="0" fontId="16" numFmtId="0" xfId="0" applyAlignment="1" applyBorder="1" applyFont="1">
      <alignment horizontal="center" vertical="center"/>
    </xf>
    <xf borderId="30" fillId="0" fontId="4" numFmtId="0" xfId="0" applyAlignment="1" applyBorder="1" applyFont="1">
      <alignment vertical="center"/>
    </xf>
    <xf borderId="25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left" shrinkToFit="0" vertical="center" wrapText="1"/>
    </xf>
    <xf borderId="32" fillId="0" fontId="4" numFmtId="0" xfId="0" applyAlignment="1" applyBorder="1" applyFont="1">
      <alignment vertical="center"/>
    </xf>
    <xf borderId="17" fillId="0" fontId="6" numFmtId="0" xfId="0" applyAlignment="1" applyBorder="1" applyFont="1">
      <alignment horizontal="left" vertical="center"/>
    </xf>
    <xf borderId="33" fillId="0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4" numFmtId="0" xfId="0" applyAlignment="1" applyBorder="1" applyFont="1">
      <alignment vertical="center"/>
    </xf>
    <xf borderId="24" fillId="0" fontId="4" numFmtId="0" xfId="0" applyAlignment="1" applyBorder="1" applyFont="1">
      <alignment vertical="center"/>
    </xf>
    <xf borderId="0" fillId="0" fontId="6" numFmtId="0" xfId="0" applyAlignment="1" applyFont="1">
      <alignment horizontal="left" vertical="center"/>
    </xf>
    <xf borderId="35" fillId="0" fontId="4" numFmtId="0" xfId="0" applyAlignment="1" applyBorder="1" applyFont="1">
      <alignment vertical="center"/>
    </xf>
    <xf borderId="36" fillId="0" fontId="6" numFmtId="0" xfId="0" applyAlignment="1" applyBorder="1" applyFont="1">
      <alignment horizontal="left" shrinkToFit="0" vertical="center" wrapText="1"/>
    </xf>
    <xf borderId="37" fillId="0" fontId="4" numFmtId="0" xfId="0" applyAlignment="1" applyBorder="1" applyFont="1">
      <alignment vertical="center"/>
    </xf>
    <xf borderId="34" fillId="0" fontId="4" numFmtId="0" xfId="0" applyAlignment="1" applyBorder="1" applyFont="1">
      <alignment vertical="center"/>
    </xf>
    <xf borderId="38" fillId="0" fontId="4" numFmtId="0" xfId="0" applyAlignment="1" applyBorder="1" applyFont="1">
      <alignment vertical="center"/>
    </xf>
    <xf borderId="39" fillId="0" fontId="4" numFmtId="0" xfId="0" applyAlignment="1" applyBorder="1" applyFont="1">
      <alignment vertical="center"/>
    </xf>
    <xf borderId="40" fillId="0" fontId="4" numFmtId="0" xfId="0" applyAlignment="1" applyBorder="1" applyFont="1">
      <alignment vertical="center"/>
    </xf>
    <xf borderId="17" fillId="0" fontId="6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41" fillId="0" fontId="4" numFmtId="0" xfId="0" applyAlignment="1" applyBorder="1" applyFont="1">
      <alignment vertical="center"/>
    </xf>
    <xf borderId="36" fillId="0" fontId="18" numFmtId="0" xfId="0" applyAlignment="1" applyBorder="1" applyFont="1">
      <alignment horizontal="center" vertical="center"/>
    </xf>
    <xf borderId="42" fillId="0" fontId="4" numFmtId="0" xfId="0" applyAlignment="1" applyBorder="1" applyFont="1">
      <alignment vertical="center"/>
    </xf>
    <xf borderId="43" fillId="0" fontId="10" numFmtId="0" xfId="0" applyAlignment="1" applyBorder="1" applyFont="1">
      <alignment horizontal="center" vertical="center"/>
    </xf>
    <xf borderId="44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17" fillId="0" fontId="13" numFmtId="0" xfId="0" applyAlignment="1" applyBorder="1" applyFont="1">
      <alignment horizontal="left" shrinkToFit="0" vertical="center" wrapText="1"/>
    </xf>
    <xf borderId="45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left" vertical="center"/>
    </xf>
    <xf borderId="46" fillId="0" fontId="4" numFmtId="0" xfId="0" applyAlignment="1" applyBorder="1" applyFont="1">
      <alignment vertical="center"/>
    </xf>
    <xf borderId="17" fillId="0" fontId="19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17" fillId="0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104775</xdr:colOff>
      <xdr:row>8</xdr:row>
      <xdr:rowOff>38100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76200</xdr:colOff>
      <xdr:row>8</xdr:row>
      <xdr:rowOff>28575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76200</xdr:colOff>
      <xdr:row>8</xdr:row>
      <xdr:rowOff>38100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95250</xdr:colOff>
      <xdr:row>8</xdr:row>
      <xdr:rowOff>9525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8</xdr:row>
      <xdr:rowOff>47625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85725</xdr:colOff>
      <xdr:row>8</xdr:row>
      <xdr:rowOff>38100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8</xdr:row>
      <xdr:rowOff>66675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8</xdr:row>
      <xdr:rowOff>57150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95250</xdr:colOff>
      <xdr:row>8</xdr:row>
      <xdr:rowOff>38100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95250</xdr:colOff>
      <xdr:row>8</xdr:row>
      <xdr:rowOff>38100</xdr:rowOff>
    </xdr:from>
    <xdr:ext cx="20288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13" width="7.38"/>
    <col customWidth="1" min="14" max="29" width="7.0"/>
  </cols>
  <sheetData>
    <row r="1" ht="13.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ht="12.75" customHeight="1">
      <c r="A2" s="4">
        <v>46082.0</v>
      </c>
      <c r="B2" s="5">
        <v>5.0</v>
      </c>
      <c r="C2" s="6">
        <v>5.0</v>
      </c>
      <c r="D2" s="7">
        <v>5.0</v>
      </c>
      <c r="E2" s="8"/>
    </row>
    <row r="3" ht="12.75" customHeight="1">
      <c r="A3" s="9" t="s">
        <v>12</v>
      </c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ht="12.75" customHeight="1">
      <c r="A4" s="4"/>
      <c r="B4" s="12"/>
      <c r="C4" s="8"/>
      <c r="D4" s="8"/>
      <c r="E4" s="8"/>
    </row>
    <row r="5" ht="12.75" customHeight="1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ht="12.75" customHeight="1">
      <c r="A6" s="4"/>
      <c r="B6" s="12"/>
      <c r="C6" s="13"/>
      <c r="D6" s="13"/>
      <c r="E6" s="13"/>
      <c r="F6" s="13"/>
    </row>
    <row r="7" ht="12.75" customHeight="1">
      <c r="A7" s="9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ht="12.75" customHeight="1">
      <c r="A8" s="4"/>
      <c r="B8" s="12"/>
      <c r="C8" s="13"/>
      <c r="D8" s="13"/>
    </row>
    <row r="9" ht="12.75" customHeight="1">
      <c r="A9" s="9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ht="12.75" customHeight="1">
      <c r="A10" s="4"/>
      <c r="B10" s="12"/>
      <c r="C10" s="13"/>
      <c r="D10" s="13"/>
    </row>
    <row r="11" ht="12.75" customHeight="1">
      <c r="A11" s="9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ht="12.75" customHeight="1">
      <c r="A12" s="4"/>
      <c r="B12" s="12"/>
      <c r="C12" s="13"/>
      <c r="D12" s="13"/>
    </row>
    <row r="13" ht="12.75" customHeight="1">
      <c r="A13" s="9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ht="12.75" customHeight="1">
      <c r="A14" s="4"/>
      <c r="B14" s="12"/>
    </row>
    <row r="15" ht="12.75" customHeight="1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ht="12.75" customHeight="1">
      <c r="A16" s="4"/>
      <c r="B16" s="12"/>
    </row>
    <row r="17" ht="12.75" customHeight="1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ht="12.75" customHeight="1">
      <c r="A18" s="4"/>
      <c r="B18" s="12"/>
    </row>
    <row r="19" ht="12.75" customHeight="1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ht="12.75" customHeight="1">
      <c r="A20" s="4"/>
      <c r="B20" s="12"/>
    </row>
    <row r="21" ht="12.75" customHeight="1">
      <c r="A21" s="9"/>
      <c r="B21" s="10"/>
      <c r="C21" s="8"/>
      <c r="D21" s="8"/>
      <c r="E21" s="8"/>
      <c r="F21" s="8"/>
      <c r="G21" s="11"/>
      <c r="H21" s="11"/>
      <c r="I21" s="11"/>
      <c r="J21" s="11"/>
      <c r="K21" s="11"/>
      <c r="L21" s="11"/>
      <c r="M21" s="11"/>
    </row>
    <row r="22" ht="23.25" customHeight="1">
      <c r="A22" s="14"/>
      <c r="B22" s="15" t="s">
        <v>13</v>
      </c>
      <c r="C22" s="16" t="s">
        <v>14</v>
      </c>
      <c r="D22" s="17"/>
      <c r="E22" s="18"/>
      <c r="F22" s="19" t="s">
        <v>15</v>
      </c>
    </row>
    <row r="23" ht="26.25" customHeight="1">
      <c r="A23" s="1" t="s">
        <v>16</v>
      </c>
      <c r="B23" s="20" t="s">
        <v>17</v>
      </c>
      <c r="C23" s="21" t="s">
        <v>18</v>
      </c>
      <c r="D23" s="17"/>
      <c r="E23" s="17"/>
      <c r="F23" s="17"/>
      <c r="G23" s="17"/>
      <c r="H23" s="17"/>
      <c r="I23" s="18"/>
    </row>
    <row r="24" ht="12.75" customHeight="1">
      <c r="A24" s="9"/>
      <c r="B24" s="22" t="s">
        <v>19</v>
      </c>
      <c r="C24" s="23" t="s">
        <v>20</v>
      </c>
      <c r="D24" s="24" t="s">
        <v>21</v>
      </c>
      <c r="E24" s="25"/>
      <c r="F24" s="24" t="s">
        <v>22</v>
      </c>
      <c r="G24" s="25"/>
      <c r="H24" s="24" t="s">
        <v>23</v>
      </c>
      <c r="I24" s="25"/>
      <c r="J24" s="26" t="s">
        <v>24</v>
      </c>
      <c r="K24" s="27"/>
      <c r="L24" s="26" t="s">
        <v>25</v>
      </c>
      <c r="M24" s="28"/>
      <c r="N24" s="29" t="str">
        <f>LEFT("【駆除作業報告】"&amp;CHAR(10)&amp;"対象害虫/害獣："&amp;TEXTJOIN(", ", TRUE, D25:D30)&amp;CHAR(10)&amp;"処理方法："&amp;TEXTJOIN("・", TRUE, H25:H30)&amp;CHAR(10)&amp;"備考："&amp;LEFT(TEXTJOIN("／", TRUE, L25:L30), 120)&amp;CHAR(10)&amp;"以上、施工完了しました。", 200)</f>
        <v>【駆除作業報告】
対象害虫/害獣：ネズミ
処理方法：交換
備考：薬剤喫食なし
以上、施工完了しました。</v>
      </c>
    </row>
    <row r="25" ht="12.75" customHeight="1">
      <c r="A25" s="30">
        <v>46082.0</v>
      </c>
      <c r="B25" s="31" t="s">
        <v>26</v>
      </c>
      <c r="C25" s="32" t="s">
        <v>27</v>
      </c>
      <c r="D25" s="33" t="s">
        <v>28</v>
      </c>
      <c r="E25" s="34"/>
      <c r="F25" s="33" t="s">
        <v>29</v>
      </c>
      <c r="G25" s="34"/>
      <c r="H25" s="33" t="s">
        <v>30</v>
      </c>
      <c r="I25" s="34"/>
      <c r="J25" s="33" t="s">
        <v>31</v>
      </c>
      <c r="K25" s="34"/>
      <c r="L25" s="35" t="s">
        <v>32</v>
      </c>
      <c r="M25" s="34"/>
      <c r="W25" s="29"/>
      <c r="X25" s="29"/>
    </row>
    <row r="26" ht="12.75" customHeight="1">
      <c r="A26" s="9" t="s">
        <v>12</v>
      </c>
      <c r="B26" s="22" t="s">
        <v>33</v>
      </c>
      <c r="C26" s="36"/>
      <c r="D26" s="33"/>
      <c r="E26" s="34"/>
      <c r="F26" s="33"/>
      <c r="G26" s="34"/>
      <c r="H26" s="33"/>
      <c r="I26" s="34"/>
      <c r="J26" s="33"/>
      <c r="K26" s="34"/>
      <c r="L26" s="35"/>
      <c r="M26" s="34"/>
      <c r="W26" s="29"/>
      <c r="X26" s="29"/>
    </row>
    <row r="27" ht="12.75" customHeight="1">
      <c r="A27" s="32" t="s">
        <v>28</v>
      </c>
      <c r="B27" s="32" t="s">
        <v>34</v>
      </c>
      <c r="C27" s="32"/>
      <c r="D27" s="33"/>
      <c r="E27" s="34"/>
      <c r="F27" s="33"/>
      <c r="G27" s="34"/>
      <c r="H27" s="33"/>
      <c r="I27" s="34"/>
      <c r="J27" s="33"/>
      <c r="K27" s="34"/>
      <c r="L27" s="35"/>
      <c r="M27" s="34"/>
      <c r="W27" s="29"/>
      <c r="X27" s="29"/>
    </row>
    <row r="28" ht="12.75" customHeight="1">
      <c r="A28" s="37"/>
      <c r="B28" s="37"/>
      <c r="C28" s="37"/>
      <c r="D28" s="33"/>
      <c r="E28" s="34"/>
      <c r="F28" s="33"/>
      <c r="G28" s="34"/>
      <c r="H28" s="33"/>
      <c r="I28" s="34"/>
      <c r="J28" s="33"/>
      <c r="K28" s="34"/>
      <c r="L28" s="35"/>
      <c r="M28" s="34"/>
      <c r="W28" s="29"/>
      <c r="X28" s="29"/>
    </row>
    <row r="29" ht="12.75" customHeight="1">
      <c r="A29" s="31"/>
      <c r="B29" s="31"/>
      <c r="C29" s="31"/>
      <c r="D29" s="33"/>
      <c r="E29" s="34"/>
      <c r="F29" s="33"/>
      <c r="G29" s="34"/>
      <c r="H29" s="33"/>
      <c r="I29" s="34"/>
      <c r="J29" s="24"/>
      <c r="K29" s="38"/>
      <c r="L29" s="35"/>
      <c r="M29" s="34"/>
      <c r="W29" s="29"/>
      <c r="X29" s="29"/>
    </row>
    <row r="30" ht="12.75" customHeight="1">
      <c r="A30" s="23"/>
      <c r="B30" s="23"/>
      <c r="C30" s="23"/>
      <c r="D30" s="33"/>
      <c r="E30" s="34"/>
      <c r="F30" s="33"/>
      <c r="G30" s="34"/>
      <c r="H30" s="33"/>
      <c r="I30" s="34"/>
      <c r="J30" s="33"/>
      <c r="K30" s="34"/>
      <c r="L30" s="35"/>
      <c r="M30" s="34"/>
      <c r="W30" s="29"/>
      <c r="X30" s="29"/>
    </row>
    <row r="31" ht="24.0" customHeight="1">
      <c r="A31" s="1" t="s">
        <v>35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ht="12.75" customHeight="1">
      <c r="A32" s="39"/>
      <c r="B32" s="40" t="s">
        <v>19</v>
      </c>
      <c r="C32" s="41" t="s">
        <v>20</v>
      </c>
      <c r="D32" s="26" t="s">
        <v>21</v>
      </c>
      <c r="E32" s="27"/>
      <c r="F32" s="26" t="s">
        <v>22</v>
      </c>
      <c r="G32" s="27"/>
      <c r="H32" s="26" t="s">
        <v>23</v>
      </c>
      <c r="I32" s="27"/>
      <c r="J32" s="26" t="s">
        <v>24</v>
      </c>
      <c r="K32" s="27"/>
      <c r="L32" s="26" t="s">
        <v>36</v>
      </c>
      <c r="M32" s="28"/>
      <c r="N32" s="29" t="str">
        <f>LEFT("【駆除作業報告】"&amp;CHAR(10)&amp;"対象害虫/害獣："&amp;TEXTJOIN(", ", TRUE, D33:D38)&amp;CHAR(10)&amp;"処理方法："&amp;TEXTJOIN("・", TRUE, H33:H38)&amp;CHAR(10)&amp;"備考："&amp;LEFT(TEXTJOIN("／", TRUE, L33:L38), 120)&amp;CHAR(10)&amp;"以上、施工完了しました。", 200)</f>
        <v>【駆除作業報告】
対象害虫/害獣：
処理方法：
備考：
以上、施工完了しました。</v>
      </c>
    </row>
    <row r="33" ht="12.75" customHeight="1">
      <c r="A33" s="30"/>
      <c r="B33" s="42"/>
      <c r="C33" s="32"/>
      <c r="D33" s="33"/>
      <c r="E33" s="34"/>
      <c r="F33" s="33"/>
      <c r="G33" s="34"/>
      <c r="H33" s="33"/>
      <c r="I33" s="34"/>
      <c r="J33" s="33"/>
      <c r="K33" s="34"/>
      <c r="L33" s="35"/>
      <c r="M33" s="34"/>
    </row>
    <row r="34" ht="12.75" customHeight="1">
      <c r="A34" s="9"/>
      <c r="B34" s="43"/>
      <c r="C34" s="44"/>
      <c r="D34" s="33"/>
      <c r="E34" s="34"/>
      <c r="F34" s="33"/>
      <c r="G34" s="34"/>
      <c r="H34" s="33"/>
      <c r="I34" s="34"/>
      <c r="J34" s="33"/>
      <c r="K34" s="34"/>
      <c r="L34" s="35"/>
      <c r="M34" s="34"/>
    </row>
    <row r="35" ht="12.75" customHeight="1">
      <c r="A35" s="32"/>
      <c r="B35" s="32"/>
      <c r="C35" s="32"/>
      <c r="D35" s="33"/>
      <c r="E35" s="34"/>
      <c r="F35" s="33"/>
      <c r="G35" s="34"/>
      <c r="H35" s="33"/>
      <c r="I35" s="34"/>
      <c r="J35" s="33"/>
      <c r="K35" s="34"/>
      <c r="L35" s="35"/>
      <c r="M35" s="34"/>
    </row>
    <row r="36" ht="12.75" customHeight="1">
      <c r="A36" s="37"/>
      <c r="B36" s="37"/>
      <c r="C36" s="37"/>
      <c r="D36" s="33"/>
      <c r="E36" s="34"/>
      <c r="F36" s="33"/>
      <c r="G36" s="34"/>
      <c r="H36" s="33"/>
      <c r="I36" s="34"/>
      <c r="J36" s="33"/>
      <c r="K36" s="34"/>
      <c r="L36" s="35"/>
      <c r="M36" s="34"/>
    </row>
    <row r="37" ht="12.75" customHeight="1">
      <c r="A37" s="31"/>
      <c r="B37" s="31"/>
      <c r="C37" s="31"/>
      <c r="D37" s="45"/>
      <c r="E37" s="34"/>
      <c r="F37" s="33"/>
      <c r="G37" s="34"/>
      <c r="H37" s="33"/>
      <c r="I37" s="34"/>
      <c r="J37" s="33"/>
      <c r="K37" s="34"/>
      <c r="L37" s="35"/>
      <c r="M37" s="34"/>
    </row>
    <row r="38" ht="12.75" customHeight="1">
      <c r="A38" s="23"/>
      <c r="B38" s="23"/>
      <c r="C38" s="23"/>
      <c r="D38" s="33"/>
      <c r="E38" s="34"/>
      <c r="F38" s="33"/>
      <c r="G38" s="34"/>
      <c r="H38" s="33"/>
      <c r="I38" s="34"/>
      <c r="J38" s="33"/>
      <c r="K38" s="34"/>
      <c r="L38" s="35"/>
      <c r="M38" s="34"/>
    </row>
    <row r="39" ht="25.5" customHeight="1">
      <c r="A39" s="1" t="s">
        <v>37</v>
      </c>
    </row>
    <row r="40" ht="12.75" customHeight="1">
      <c r="A40" s="39"/>
      <c r="B40" s="40" t="s">
        <v>19</v>
      </c>
      <c r="C40" s="41" t="s">
        <v>20</v>
      </c>
      <c r="D40" s="26" t="s">
        <v>21</v>
      </c>
      <c r="E40" s="27"/>
      <c r="F40" s="26" t="s">
        <v>22</v>
      </c>
      <c r="G40" s="27"/>
      <c r="H40" s="26" t="s">
        <v>23</v>
      </c>
      <c r="I40" s="27"/>
      <c r="J40" s="26" t="s">
        <v>24</v>
      </c>
      <c r="K40" s="27"/>
      <c r="L40" s="26" t="s">
        <v>25</v>
      </c>
      <c r="M40" s="28"/>
      <c r="N40" s="29" t="str">
        <f>LEFT("【駆除作業報告】"&amp;CHAR(10)&amp;"対象害虫/害獣："&amp;TEXTJOIN(", ", TRUE, D41:D46)&amp;CHAR(10)&amp;"処理方法："&amp;TEXTJOIN("・", TRUE, H41:H46)&amp;CHAR(10)&amp;"備考："&amp;LEFT(TEXTJOIN("／", TRUE, L41:L46), 120)&amp;CHAR(10)&amp;"以上、施工完了しました。", 200)</f>
        <v>【駆除作業報告】
対象害虫/害獣：
処理方法：
備考：
以上、施工完了しました。</v>
      </c>
    </row>
    <row r="41" ht="12.75" customHeight="1">
      <c r="A41" s="30"/>
      <c r="B41" s="31"/>
      <c r="C41" s="32"/>
      <c r="D41" s="33"/>
      <c r="E41" s="34"/>
      <c r="F41" s="33"/>
      <c r="G41" s="34"/>
      <c r="H41" s="33"/>
      <c r="I41" s="34"/>
      <c r="J41" s="33"/>
      <c r="K41" s="34"/>
      <c r="L41" s="35"/>
      <c r="M41" s="34"/>
    </row>
    <row r="42" ht="12.75" customHeight="1">
      <c r="A42" s="9"/>
      <c r="B42" s="43"/>
      <c r="C42" s="23"/>
      <c r="D42" s="46"/>
      <c r="E42" s="47"/>
      <c r="F42" s="33"/>
      <c r="G42" s="34"/>
      <c r="H42" s="33"/>
      <c r="I42" s="34"/>
      <c r="J42" s="33"/>
      <c r="K42" s="34"/>
      <c r="L42" s="35"/>
      <c r="M42" s="34"/>
    </row>
    <row r="43" ht="12.75" customHeight="1">
      <c r="A43" s="32"/>
      <c r="B43" s="32"/>
      <c r="C43" s="32"/>
      <c r="D43" s="33"/>
      <c r="E43" s="34"/>
      <c r="F43" s="33"/>
      <c r="G43" s="34"/>
      <c r="H43" s="33"/>
      <c r="I43" s="34"/>
      <c r="J43" s="33"/>
      <c r="K43" s="34"/>
      <c r="L43" s="35"/>
      <c r="M43" s="34"/>
    </row>
    <row r="44" ht="12.75" customHeight="1">
      <c r="A44" s="37"/>
      <c r="B44" s="37"/>
      <c r="C44" s="37"/>
      <c r="D44" s="33"/>
      <c r="E44" s="34"/>
      <c r="F44" s="33"/>
      <c r="G44" s="34"/>
      <c r="H44" s="33"/>
      <c r="I44" s="34"/>
      <c r="J44" s="33"/>
      <c r="K44" s="34"/>
      <c r="L44" s="35"/>
      <c r="M44" s="34"/>
    </row>
    <row r="45" ht="12.75" customHeight="1">
      <c r="A45" s="31"/>
      <c r="B45" s="31"/>
      <c r="C45" s="31"/>
      <c r="D45" s="33"/>
      <c r="E45" s="34"/>
      <c r="F45" s="33"/>
      <c r="G45" s="34"/>
      <c r="H45" s="33"/>
      <c r="I45" s="34"/>
      <c r="J45" s="33"/>
      <c r="K45" s="34"/>
      <c r="L45" s="35"/>
      <c r="M45" s="34"/>
    </row>
    <row r="46" ht="12.75" customHeight="1">
      <c r="A46" s="23"/>
      <c r="B46" s="23"/>
      <c r="C46" s="23"/>
      <c r="D46" s="33"/>
      <c r="E46" s="34"/>
      <c r="F46" s="33"/>
      <c r="G46" s="34"/>
      <c r="H46" s="33"/>
      <c r="I46" s="34"/>
      <c r="J46" s="33"/>
      <c r="K46" s="34"/>
      <c r="L46" s="35"/>
      <c r="M46" s="34"/>
    </row>
    <row r="47" ht="25.5" customHeight="1">
      <c r="A47" s="1" t="s">
        <v>38</v>
      </c>
    </row>
    <row r="48" ht="12.75" customHeight="1">
      <c r="A48" s="39"/>
      <c r="B48" s="40" t="s">
        <v>19</v>
      </c>
      <c r="C48" s="41" t="s">
        <v>20</v>
      </c>
      <c r="D48" s="26" t="s">
        <v>21</v>
      </c>
      <c r="E48" s="27"/>
      <c r="F48" s="26" t="s">
        <v>22</v>
      </c>
      <c r="G48" s="27"/>
      <c r="H48" s="26" t="s">
        <v>23</v>
      </c>
      <c r="I48" s="27"/>
      <c r="J48" s="26" t="s">
        <v>24</v>
      </c>
      <c r="K48" s="27"/>
      <c r="L48" s="26" t="s">
        <v>25</v>
      </c>
      <c r="M48" s="28"/>
      <c r="N48" s="29" t="str">
        <f>LEFT("【駆除作業報告】"&amp;CHAR(10)&amp;"対象害虫/害獣："&amp;TEXTJOIN(", ", TRUE, D49:D54)&amp;CHAR(10)&amp;"処理方法："&amp;TEXTJOIN("・", TRUE, H49:H54)&amp;CHAR(10)&amp;"備考："&amp;LEFT(TEXTJOIN("／", TRUE, L49:L54), 120)&amp;CHAR(10)&amp;"以上、施工完了しました。", 200)</f>
        <v>【駆除作業報告】
対象害虫/害獣：
処理方法：
備考：
以上、施工完了しました。</v>
      </c>
    </row>
    <row r="49" ht="12.75" customHeight="1">
      <c r="A49" s="30"/>
      <c r="B49" s="42"/>
      <c r="C49" s="32"/>
      <c r="D49" s="33"/>
      <c r="E49" s="34"/>
      <c r="F49" s="33"/>
      <c r="G49" s="34"/>
      <c r="H49" s="33"/>
      <c r="I49" s="34"/>
      <c r="J49" s="33"/>
      <c r="K49" s="34"/>
      <c r="L49" s="35"/>
      <c r="M49" s="34"/>
    </row>
    <row r="50" ht="12.75" customHeight="1">
      <c r="A50" s="48"/>
      <c r="B50" s="43"/>
      <c r="C50" s="44"/>
      <c r="D50" s="33"/>
      <c r="E50" s="34"/>
      <c r="F50" s="33"/>
      <c r="G50" s="34"/>
      <c r="H50" s="33"/>
      <c r="I50" s="34"/>
      <c r="J50" s="33"/>
      <c r="K50" s="34"/>
      <c r="L50" s="35"/>
      <c r="M50" s="34"/>
    </row>
    <row r="51" ht="12.75" customHeight="1">
      <c r="A51" s="32"/>
      <c r="B51" s="32"/>
      <c r="C51" s="32"/>
      <c r="D51" s="33"/>
      <c r="E51" s="34"/>
      <c r="F51" s="33"/>
      <c r="G51" s="34"/>
      <c r="H51" s="33"/>
      <c r="I51" s="34"/>
      <c r="J51" s="33"/>
      <c r="K51" s="34"/>
      <c r="L51" s="35"/>
      <c r="M51" s="34"/>
    </row>
    <row r="52" ht="12.75" customHeight="1">
      <c r="A52" s="37"/>
      <c r="B52" s="37"/>
      <c r="C52" s="37"/>
      <c r="D52" s="33"/>
      <c r="E52" s="34"/>
      <c r="F52" s="33"/>
      <c r="G52" s="34"/>
      <c r="H52" s="33"/>
      <c r="I52" s="34"/>
      <c r="J52" s="33"/>
      <c r="K52" s="34"/>
      <c r="L52" s="35"/>
      <c r="M52" s="34"/>
    </row>
    <row r="53" ht="12.75" customHeight="1">
      <c r="A53" s="31"/>
      <c r="B53" s="31"/>
      <c r="C53" s="31"/>
      <c r="D53" s="33"/>
      <c r="E53" s="34"/>
      <c r="F53" s="33"/>
      <c r="G53" s="34"/>
      <c r="H53" s="33"/>
      <c r="I53" s="34"/>
      <c r="J53" s="33"/>
      <c r="K53" s="34"/>
      <c r="L53" s="35"/>
      <c r="M53" s="34"/>
    </row>
    <row r="54" ht="12.75" customHeight="1">
      <c r="A54" s="23"/>
      <c r="B54" s="23"/>
      <c r="C54" s="23"/>
      <c r="D54" s="45"/>
      <c r="E54" s="34"/>
      <c r="F54" s="33"/>
      <c r="G54" s="34"/>
      <c r="H54" s="33"/>
      <c r="I54" s="34"/>
      <c r="J54" s="33"/>
      <c r="K54" s="34"/>
      <c r="L54" s="35"/>
      <c r="M54" s="34"/>
    </row>
    <row r="55" ht="24.0" customHeight="1">
      <c r="A55" s="1" t="s">
        <v>39</v>
      </c>
    </row>
    <row r="56" ht="12.75" customHeight="1">
      <c r="A56" s="39"/>
      <c r="B56" s="40" t="s">
        <v>19</v>
      </c>
      <c r="C56" s="41" t="s">
        <v>20</v>
      </c>
      <c r="D56" s="26" t="s">
        <v>21</v>
      </c>
      <c r="E56" s="27"/>
      <c r="F56" s="26" t="s">
        <v>22</v>
      </c>
      <c r="G56" s="27"/>
      <c r="H56" s="26" t="s">
        <v>23</v>
      </c>
      <c r="I56" s="27"/>
      <c r="J56" s="26" t="s">
        <v>24</v>
      </c>
      <c r="K56" s="27"/>
      <c r="L56" s="26" t="s">
        <v>25</v>
      </c>
      <c r="M56" s="28"/>
      <c r="N56" s="29" t="str">
        <f>LEFT("【駆除作業報告】"&amp;CHAR(10)&amp;"対象害虫/害獣："&amp;TEXTJOIN(", ", TRUE, D57:D62)&amp;CHAR(10)&amp;"処理方法："&amp;TEXTJOIN("・", TRUE, H57:H62)&amp;CHAR(10)&amp;"備考："&amp;LEFT(TEXTJOIN("／", TRUE, L57:L62), 120)&amp;CHAR(10)&amp;"以上、施工完了しました。", 200)</f>
        <v>【駆除作業報告】
対象害虫/害獣：
処理方法：
備考：
以上、施工完了しました。</v>
      </c>
    </row>
    <row r="57" ht="12.75" customHeight="1">
      <c r="A57" s="30"/>
      <c r="B57" s="42"/>
      <c r="C57" s="32"/>
      <c r="D57" s="33"/>
      <c r="E57" s="34"/>
      <c r="F57" s="33"/>
      <c r="G57" s="34"/>
      <c r="H57" s="33"/>
      <c r="I57" s="34"/>
      <c r="J57" s="33"/>
      <c r="K57" s="34"/>
      <c r="L57" s="35"/>
      <c r="M57" s="34"/>
    </row>
    <row r="58" ht="12.75" customHeight="1">
      <c r="A58" s="48"/>
      <c r="B58" s="43"/>
      <c r="C58" s="44"/>
      <c r="D58" s="33"/>
      <c r="E58" s="34"/>
      <c r="F58" s="33"/>
      <c r="G58" s="34"/>
      <c r="H58" s="33"/>
      <c r="I58" s="34"/>
      <c r="J58" s="33"/>
      <c r="K58" s="34"/>
      <c r="L58" s="35"/>
      <c r="M58" s="34"/>
    </row>
    <row r="59" ht="12.75" customHeight="1">
      <c r="A59" s="23"/>
      <c r="B59" s="32"/>
      <c r="C59" s="32"/>
      <c r="D59" s="33"/>
      <c r="E59" s="34"/>
      <c r="F59" s="33"/>
      <c r="G59" s="34"/>
      <c r="H59" s="33"/>
      <c r="I59" s="34"/>
      <c r="J59" s="33"/>
      <c r="K59" s="34"/>
      <c r="L59" s="35"/>
      <c r="M59" s="34"/>
    </row>
    <row r="60" ht="12.75" customHeight="1">
      <c r="A60" s="37"/>
      <c r="B60" s="37"/>
      <c r="C60" s="37"/>
      <c r="D60" s="46"/>
      <c r="E60" s="47"/>
      <c r="F60" s="33"/>
      <c r="G60" s="34"/>
      <c r="H60" s="33"/>
      <c r="I60" s="34"/>
      <c r="J60" s="33"/>
      <c r="K60" s="34"/>
      <c r="L60" s="35"/>
      <c r="M60" s="34"/>
    </row>
    <row r="61" ht="12.75" customHeight="1">
      <c r="A61" s="31"/>
      <c r="B61" s="31"/>
      <c r="C61" s="31"/>
      <c r="D61" s="33"/>
      <c r="E61" s="34"/>
      <c r="F61" s="33"/>
      <c r="G61" s="34"/>
      <c r="H61" s="33"/>
      <c r="I61" s="34"/>
      <c r="J61" s="33"/>
      <c r="K61" s="34"/>
      <c r="L61" s="35"/>
      <c r="M61" s="34"/>
    </row>
    <row r="62" ht="12.75" customHeight="1">
      <c r="A62" s="23"/>
      <c r="B62" s="23"/>
      <c r="C62" s="23"/>
      <c r="D62" s="33"/>
      <c r="E62" s="34"/>
      <c r="F62" s="33"/>
      <c r="G62" s="34"/>
      <c r="H62" s="33"/>
      <c r="I62" s="34"/>
      <c r="J62" s="33"/>
      <c r="K62" s="34"/>
      <c r="L62" s="35"/>
      <c r="M62" s="34"/>
    </row>
    <row r="63" ht="38.25" customHeight="1">
      <c r="A63" s="1" t="s">
        <v>40</v>
      </c>
    </row>
    <row r="64" ht="12.75" customHeight="1">
      <c r="A64" s="39"/>
      <c r="B64" s="40" t="s">
        <v>19</v>
      </c>
      <c r="C64" s="41" t="s">
        <v>20</v>
      </c>
      <c r="D64" s="26" t="s">
        <v>21</v>
      </c>
      <c r="E64" s="27"/>
      <c r="F64" s="26" t="s">
        <v>22</v>
      </c>
      <c r="G64" s="27"/>
      <c r="H64" s="26" t="s">
        <v>23</v>
      </c>
      <c r="I64" s="27"/>
      <c r="J64" s="26" t="s">
        <v>24</v>
      </c>
      <c r="K64" s="27"/>
      <c r="L64" s="26" t="s">
        <v>25</v>
      </c>
      <c r="M64" s="28"/>
      <c r="N64" s="29" t="str">
        <f>LEFT("【駆除作業報告】"&amp;CHAR(10)&amp;"対象害虫/害獣："&amp;TEXTJOIN(", ", TRUE, D65:D70)&amp;CHAR(10)&amp;"処理方法："&amp;TEXTJOIN("・", TRUE, H65:H70)&amp;CHAR(10)&amp;"備考："&amp;LEFT(TEXTJOIN("／", TRUE, L65:L70), 120)&amp;CHAR(10)&amp;"以上、施工完了しました。", 200)</f>
        <v>【駆除作業報告】
対象害虫/害獣：
処理方法：
備考：
以上、施工完了しました。</v>
      </c>
    </row>
    <row r="65" ht="12.75" customHeight="1">
      <c r="A65" s="30"/>
      <c r="B65" s="31"/>
      <c r="C65" s="32"/>
      <c r="D65" s="33"/>
      <c r="E65" s="34"/>
      <c r="F65" s="33"/>
      <c r="G65" s="34"/>
      <c r="H65" s="33"/>
      <c r="I65" s="34"/>
      <c r="J65" s="33"/>
      <c r="K65" s="34"/>
      <c r="L65" s="35"/>
      <c r="M65" s="34"/>
    </row>
    <row r="66" ht="12.75" customHeight="1">
      <c r="A66" s="48"/>
      <c r="B66" s="43"/>
      <c r="C66" s="44"/>
      <c r="D66" s="33"/>
      <c r="E66" s="34"/>
      <c r="F66" s="33"/>
      <c r="G66" s="34"/>
      <c r="H66" s="33"/>
      <c r="I66" s="34"/>
      <c r="J66" s="33"/>
      <c r="K66" s="34"/>
      <c r="L66" s="35"/>
      <c r="M66" s="34"/>
    </row>
    <row r="67" ht="12.75" customHeight="1">
      <c r="A67" s="32"/>
      <c r="B67" s="32"/>
      <c r="C67" s="32"/>
      <c r="D67" s="33"/>
      <c r="E67" s="34"/>
      <c r="F67" s="33"/>
      <c r="G67" s="34"/>
      <c r="H67" s="33"/>
      <c r="I67" s="34"/>
      <c r="J67" s="33"/>
      <c r="K67" s="34"/>
      <c r="L67" s="35"/>
      <c r="M67" s="34"/>
    </row>
    <row r="68" ht="12.75" customHeight="1">
      <c r="A68" s="37"/>
      <c r="B68" s="37"/>
      <c r="C68" s="37"/>
      <c r="D68" s="33"/>
      <c r="E68" s="34"/>
      <c r="F68" s="33"/>
      <c r="G68" s="34"/>
      <c r="H68" s="33"/>
      <c r="I68" s="34"/>
      <c r="J68" s="33"/>
      <c r="K68" s="34"/>
      <c r="L68" s="35"/>
      <c r="M68" s="34"/>
    </row>
    <row r="69" ht="12.75" customHeight="1">
      <c r="A69" s="31"/>
      <c r="B69" s="31"/>
      <c r="C69" s="31"/>
      <c r="D69" s="33"/>
      <c r="E69" s="34"/>
      <c r="F69" s="33"/>
      <c r="G69" s="34"/>
      <c r="H69" s="33"/>
      <c r="I69" s="34"/>
      <c r="J69" s="33"/>
      <c r="K69" s="34"/>
      <c r="L69" s="35"/>
      <c r="M69" s="34"/>
    </row>
    <row r="70" ht="12.75" customHeight="1">
      <c r="A70" s="23"/>
      <c r="B70" s="23"/>
      <c r="C70" s="23"/>
      <c r="D70" s="33"/>
      <c r="E70" s="34"/>
      <c r="F70" s="33"/>
      <c r="G70" s="34"/>
      <c r="H70" s="33"/>
      <c r="I70" s="34"/>
      <c r="J70" s="33"/>
      <c r="K70" s="34"/>
      <c r="L70" s="35"/>
      <c r="M70" s="34"/>
    </row>
    <row r="71" ht="27.0" customHeight="1">
      <c r="A71" s="1" t="s">
        <v>41</v>
      </c>
    </row>
    <row r="72" ht="12.75" customHeight="1">
      <c r="A72" s="39"/>
      <c r="B72" s="40" t="s">
        <v>19</v>
      </c>
      <c r="C72" s="41" t="s">
        <v>20</v>
      </c>
      <c r="D72" s="26" t="s">
        <v>21</v>
      </c>
      <c r="E72" s="27"/>
      <c r="F72" s="26" t="s">
        <v>22</v>
      </c>
      <c r="G72" s="27"/>
      <c r="H72" s="26" t="s">
        <v>23</v>
      </c>
      <c r="I72" s="27"/>
      <c r="J72" s="26" t="s">
        <v>24</v>
      </c>
      <c r="K72" s="27"/>
      <c r="L72" s="26" t="s">
        <v>25</v>
      </c>
      <c r="M72" s="28"/>
      <c r="N72" s="29" t="str">
        <f>LEFT("【駆除作業報告】"&amp;CHAR(10)&amp;"対象害虫/害獣："&amp;TEXTJOIN(", ", TRUE, D73:D78)&amp;CHAR(10)&amp;"処理方法："&amp;TEXTJOIN("・", TRUE, H73:H78)&amp;CHAR(10)&amp;"備考："&amp;LEFT(TEXTJOIN("／", TRUE, L73:L78), 120)&amp;CHAR(10)&amp;"以上、施工完了しました。", 200)</f>
        <v>【駆除作業報告】
対象害虫/害獣：
処理方法：
備考：
以上、施工完了しました。</v>
      </c>
    </row>
    <row r="73" ht="12.75" customHeight="1">
      <c r="A73" s="30"/>
      <c r="B73" s="42"/>
      <c r="C73" s="32"/>
      <c r="D73" s="33"/>
      <c r="E73" s="34"/>
      <c r="F73" s="33"/>
      <c r="G73" s="34"/>
      <c r="H73" s="33"/>
      <c r="I73" s="34"/>
      <c r="J73" s="33"/>
      <c r="K73" s="34"/>
      <c r="L73" s="35"/>
      <c r="M73" s="34"/>
    </row>
    <row r="74" ht="12.75" customHeight="1">
      <c r="A74" s="48"/>
      <c r="B74" s="43"/>
      <c r="C74" s="44"/>
      <c r="D74" s="33"/>
      <c r="E74" s="34"/>
      <c r="F74" s="33"/>
      <c r="G74" s="34"/>
      <c r="H74" s="33"/>
      <c r="I74" s="34"/>
      <c r="J74" s="33"/>
      <c r="K74" s="34"/>
      <c r="L74" s="35"/>
      <c r="M74" s="34"/>
    </row>
    <row r="75" ht="12.75" customHeight="1">
      <c r="A75" s="32"/>
      <c r="B75" s="32"/>
      <c r="C75" s="32"/>
      <c r="D75" s="33"/>
      <c r="E75" s="34"/>
      <c r="F75" s="33"/>
      <c r="G75" s="34"/>
      <c r="H75" s="33"/>
      <c r="I75" s="34"/>
      <c r="J75" s="33"/>
      <c r="K75" s="34"/>
      <c r="L75" s="35"/>
      <c r="M75" s="34"/>
    </row>
    <row r="76" ht="12.75" customHeight="1">
      <c r="A76" s="37"/>
      <c r="B76" s="37"/>
      <c r="C76" s="37"/>
      <c r="D76" s="33"/>
      <c r="E76" s="34"/>
      <c r="F76" s="33"/>
      <c r="G76" s="34"/>
      <c r="H76" s="33"/>
      <c r="I76" s="34"/>
      <c r="J76" s="33"/>
      <c r="K76" s="34"/>
      <c r="L76" s="35"/>
      <c r="M76" s="34"/>
    </row>
    <row r="77" ht="12.75" customHeight="1">
      <c r="A77" s="31"/>
      <c r="B77" s="31"/>
      <c r="C77" s="31"/>
      <c r="D77" s="33"/>
      <c r="E77" s="34"/>
      <c r="F77" s="33"/>
      <c r="G77" s="34"/>
      <c r="H77" s="33"/>
      <c r="I77" s="34"/>
      <c r="J77" s="33"/>
      <c r="K77" s="34"/>
      <c r="L77" s="35"/>
      <c r="M77" s="34"/>
    </row>
    <row r="78" ht="12.75" customHeight="1">
      <c r="A78" s="23"/>
      <c r="B78" s="23"/>
      <c r="C78" s="23"/>
      <c r="D78" s="33"/>
      <c r="E78" s="34"/>
      <c r="F78" s="33"/>
      <c r="G78" s="34"/>
      <c r="H78" s="33"/>
      <c r="I78" s="34"/>
      <c r="J78" s="33"/>
      <c r="K78" s="34"/>
      <c r="L78" s="35"/>
      <c r="M78" s="34"/>
    </row>
    <row r="79" ht="25.5" customHeight="1">
      <c r="A79" s="1" t="s">
        <v>42</v>
      </c>
    </row>
    <row r="80" ht="12.75" customHeight="1">
      <c r="A80" s="39"/>
      <c r="B80" s="40" t="s">
        <v>19</v>
      </c>
      <c r="C80" s="41" t="s">
        <v>20</v>
      </c>
      <c r="D80" s="26" t="s">
        <v>21</v>
      </c>
      <c r="E80" s="27"/>
      <c r="F80" s="26" t="s">
        <v>22</v>
      </c>
      <c r="G80" s="27"/>
      <c r="H80" s="26" t="s">
        <v>23</v>
      </c>
      <c r="I80" s="27"/>
      <c r="J80" s="26" t="s">
        <v>24</v>
      </c>
      <c r="K80" s="27"/>
      <c r="L80" s="26" t="s">
        <v>25</v>
      </c>
      <c r="M80" s="28"/>
      <c r="N80" s="29" t="str">
        <f>LEFT("【駆除作業報告】"&amp;CHAR(10)&amp;"対象害虫/害獣："&amp;TEXTJOIN(", ", TRUE, D81:D86)&amp;CHAR(10)&amp;"処理方法："&amp;TEXTJOIN("・", TRUE, H81:H86)&amp;CHAR(10)&amp;"備考："&amp;LEFT(TEXTJOIN("／", TRUE, L81:L86), 120)&amp;CHAR(10)&amp;"以上、施工完了しました。", 200)</f>
        <v>【駆除作業報告】
対象害虫/害獣：
処理方法：
備考：
以上、施工完了しました。</v>
      </c>
    </row>
    <row r="81" ht="12.75" customHeight="1">
      <c r="A81" s="30"/>
      <c r="B81" s="31"/>
      <c r="C81" s="32"/>
      <c r="D81" s="33"/>
      <c r="E81" s="34"/>
      <c r="F81" s="33"/>
      <c r="G81" s="34"/>
      <c r="H81" s="33"/>
      <c r="I81" s="34"/>
      <c r="J81" s="33"/>
      <c r="K81" s="34"/>
      <c r="L81" s="35"/>
      <c r="M81" s="34"/>
    </row>
    <row r="82" ht="12.75" customHeight="1">
      <c r="A82" s="48"/>
      <c r="B82" s="22"/>
      <c r="C82" s="44"/>
      <c r="D82" s="33"/>
      <c r="E82" s="34"/>
      <c r="F82" s="33"/>
      <c r="G82" s="34"/>
      <c r="H82" s="33"/>
      <c r="I82" s="34"/>
      <c r="J82" s="33"/>
      <c r="K82" s="34"/>
      <c r="L82" s="35"/>
      <c r="M82" s="34"/>
    </row>
    <row r="83" ht="12.75" customHeight="1">
      <c r="A83" s="32"/>
      <c r="B83" s="32"/>
      <c r="C83" s="32"/>
      <c r="D83" s="33"/>
      <c r="E83" s="34"/>
      <c r="F83" s="33"/>
      <c r="G83" s="34"/>
      <c r="H83" s="33"/>
      <c r="I83" s="34"/>
      <c r="J83" s="33"/>
      <c r="K83" s="34"/>
      <c r="L83" s="35"/>
      <c r="M83" s="34"/>
    </row>
    <row r="84" ht="12.75" customHeight="1">
      <c r="A84" s="37"/>
      <c r="B84" s="37"/>
      <c r="C84" s="37"/>
      <c r="D84" s="33"/>
      <c r="E84" s="34"/>
      <c r="F84" s="33"/>
      <c r="G84" s="34"/>
      <c r="H84" s="33"/>
      <c r="I84" s="34"/>
      <c r="J84" s="33"/>
      <c r="K84" s="34"/>
      <c r="L84" s="35"/>
      <c r="M84" s="34"/>
    </row>
    <row r="85" ht="12.75" customHeight="1">
      <c r="A85" s="31"/>
      <c r="B85" s="31"/>
      <c r="C85" s="31"/>
      <c r="D85" s="33"/>
      <c r="E85" s="34"/>
      <c r="F85" s="33"/>
      <c r="G85" s="34"/>
      <c r="H85" s="33"/>
      <c r="I85" s="34"/>
      <c r="J85" s="33"/>
      <c r="K85" s="34"/>
      <c r="L85" s="35"/>
      <c r="M85" s="34"/>
    </row>
    <row r="86" ht="12.75" customHeight="1">
      <c r="A86" s="23"/>
      <c r="B86" s="23"/>
      <c r="C86" s="23"/>
      <c r="D86" s="33"/>
      <c r="E86" s="34"/>
      <c r="F86" s="33"/>
      <c r="G86" s="34"/>
      <c r="H86" s="33"/>
      <c r="I86" s="34"/>
      <c r="J86" s="33"/>
      <c r="K86" s="34"/>
      <c r="L86" s="35"/>
      <c r="M86" s="34"/>
    </row>
    <row r="87" ht="25.5" customHeight="1">
      <c r="A87" s="1" t="s">
        <v>43</v>
      </c>
    </row>
    <row r="88" ht="12.75" customHeight="1">
      <c r="A88" s="39"/>
      <c r="B88" s="40" t="s">
        <v>19</v>
      </c>
      <c r="C88" s="41" t="s">
        <v>20</v>
      </c>
      <c r="D88" s="26" t="s">
        <v>21</v>
      </c>
      <c r="E88" s="27"/>
      <c r="F88" s="26" t="s">
        <v>22</v>
      </c>
      <c r="G88" s="27"/>
      <c r="H88" s="26" t="s">
        <v>23</v>
      </c>
      <c r="I88" s="27"/>
      <c r="J88" s="26" t="s">
        <v>24</v>
      </c>
      <c r="K88" s="27"/>
      <c r="L88" s="26" t="s">
        <v>25</v>
      </c>
      <c r="M88" s="28"/>
      <c r="N88" s="29" t="str">
        <f>LEFT("【駆除作業報告】"&amp;CHAR(10)&amp;"対象害虫/害獣："&amp;TEXTJOIN(", ", TRUE, D89:D94)&amp;CHAR(10)&amp;"処理方法："&amp;TEXTJOIN("・", TRUE, H89:H94)&amp;CHAR(10)&amp;"備考："&amp;LEFT(TEXTJOIN("／", TRUE, L89:L94), 120)&amp;CHAR(10)&amp;"以上、施工完了しました。", 200)</f>
        <v>【駆除作業報告】
対象害虫/害獣：
処理方法：
備考：
以上、施工完了しました。</v>
      </c>
    </row>
    <row r="89" ht="12.75" customHeight="1">
      <c r="A89" s="30"/>
      <c r="B89" s="31"/>
      <c r="C89" s="32"/>
      <c r="D89" s="33"/>
      <c r="E89" s="34"/>
      <c r="F89" s="33"/>
      <c r="G89" s="34"/>
      <c r="H89" s="33"/>
      <c r="I89" s="34"/>
      <c r="J89" s="33"/>
      <c r="K89" s="34"/>
      <c r="L89" s="35"/>
      <c r="M89" s="34"/>
    </row>
    <row r="90" ht="12.75" customHeight="1">
      <c r="A90" s="48"/>
      <c r="B90" s="22"/>
      <c r="C90" s="44"/>
      <c r="D90" s="33"/>
      <c r="E90" s="34"/>
      <c r="F90" s="33"/>
      <c r="G90" s="34"/>
      <c r="H90" s="33"/>
      <c r="I90" s="34"/>
      <c r="J90" s="33"/>
      <c r="K90" s="34"/>
      <c r="L90" s="35"/>
      <c r="M90" s="34"/>
    </row>
    <row r="91" ht="12.75" customHeight="1">
      <c r="A91" s="32"/>
      <c r="B91" s="32"/>
      <c r="C91" s="32"/>
      <c r="D91" s="33"/>
      <c r="E91" s="34"/>
      <c r="F91" s="33"/>
      <c r="G91" s="34"/>
      <c r="H91" s="33"/>
      <c r="I91" s="34"/>
      <c r="J91" s="33"/>
      <c r="K91" s="34"/>
      <c r="L91" s="35"/>
      <c r="M91" s="34"/>
    </row>
    <row r="92" ht="12.75" customHeight="1">
      <c r="A92" s="37"/>
      <c r="B92" s="37"/>
      <c r="C92" s="37"/>
      <c r="D92" s="33"/>
      <c r="E92" s="34"/>
      <c r="F92" s="33"/>
      <c r="G92" s="34"/>
      <c r="H92" s="33"/>
      <c r="I92" s="34"/>
      <c r="J92" s="33"/>
      <c r="K92" s="34"/>
      <c r="L92" s="35"/>
      <c r="M92" s="34"/>
    </row>
    <row r="93" ht="12.75" customHeight="1">
      <c r="A93" s="31"/>
      <c r="B93" s="31"/>
      <c r="C93" s="31"/>
      <c r="D93" s="33"/>
      <c r="E93" s="34"/>
      <c r="F93" s="33"/>
      <c r="G93" s="34"/>
      <c r="H93" s="33"/>
      <c r="I93" s="34"/>
      <c r="J93" s="33"/>
      <c r="K93" s="34"/>
      <c r="L93" s="35"/>
      <c r="M93" s="34"/>
    </row>
    <row r="94" ht="12.75" customHeight="1">
      <c r="A94" s="23"/>
      <c r="B94" s="23"/>
      <c r="C94" s="23"/>
      <c r="D94" s="33"/>
      <c r="E94" s="34"/>
      <c r="F94" s="33"/>
      <c r="G94" s="34"/>
      <c r="H94" s="33"/>
      <c r="I94" s="34"/>
      <c r="J94" s="33"/>
      <c r="K94" s="34"/>
      <c r="L94" s="35"/>
      <c r="M94" s="34"/>
    </row>
    <row r="95" ht="27.0" customHeight="1">
      <c r="A95" s="1" t="s">
        <v>44</v>
      </c>
    </row>
    <row r="96" ht="12.75" customHeight="1">
      <c r="A96" s="39"/>
      <c r="B96" s="40" t="s">
        <v>19</v>
      </c>
      <c r="C96" s="41" t="s">
        <v>20</v>
      </c>
      <c r="D96" s="26" t="s">
        <v>21</v>
      </c>
      <c r="E96" s="27"/>
      <c r="F96" s="26" t="s">
        <v>22</v>
      </c>
      <c r="G96" s="27"/>
      <c r="H96" s="26" t="s">
        <v>23</v>
      </c>
      <c r="I96" s="27"/>
      <c r="J96" s="26" t="s">
        <v>24</v>
      </c>
      <c r="K96" s="27"/>
      <c r="L96" s="26" t="s">
        <v>25</v>
      </c>
      <c r="M96" s="28"/>
      <c r="N96" s="29" t="str">
        <f>LEFT("【駆除作業報告】"&amp;CHAR(10)&amp;"対象害虫/害獣："&amp;TEXTJOIN(", ", TRUE, D97:D102)&amp;CHAR(10)&amp;"処理方法："&amp;TEXTJOIN("・", TRUE, H97:H102)&amp;CHAR(10)&amp;"備考："&amp;LEFT(TEXTJOIN("／", TRUE, L97:L102), 120)&amp;CHAR(10)&amp;"以上、施工完了しました。", 200)</f>
        <v>【駆除作業報告】
対象害虫/害獣：ゴキブリ
処理方法：配置
備考：生息なし
以上、施工完了しました。</v>
      </c>
    </row>
    <row r="97" ht="12.75" customHeight="1">
      <c r="A97" s="49">
        <v>46082.0</v>
      </c>
      <c r="B97" s="50">
        <v>0.375</v>
      </c>
      <c r="C97" s="51" t="s">
        <v>27</v>
      </c>
      <c r="D97" s="52" t="s">
        <v>45</v>
      </c>
      <c r="E97" s="34"/>
      <c r="F97" s="52" t="s">
        <v>46</v>
      </c>
      <c r="G97" s="34"/>
      <c r="H97" s="52" t="s">
        <v>47</v>
      </c>
      <c r="I97" s="34"/>
      <c r="J97" s="52" t="s">
        <v>48</v>
      </c>
      <c r="K97" s="34"/>
      <c r="L97" s="53" t="s">
        <v>49</v>
      </c>
      <c r="M97" s="34"/>
    </row>
    <row r="98" ht="12.75" customHeight="1">
      <c r="A98" s="54" t="s">
        <v>12</v>
      </c>
      <c r="B98" s="55">
        <v>0.4166666666666667</v>
      </c>
      <c r="C98" s="44"/>
      <c r="D98" s="33"/>
      <c r="E98" s="34"/>
      <c r="F98" s="33"/>
      <c r="G98" s="34"/>
      <c r="H98" s="33"/>
      <c r="I98" s="34"/>
      <c r="J98" s="33"/>
      <c r="K98" s="34"/>
      <c r="L98" s="35"/>
      <c r="M98" s="34"/>
    </row>
    <row r="99" ht="12.75" customHeight="1">
      <c r="A99" s="51" t="s">
        <v>45</v>
      </c>
      <c r="B99" s="51" t="s">
        <v>50</v>
      </c>
      <c r="C99" s="32"/>
      <c r="D99" s="33"/>
      <c r="E99" s="34"/>
      <c r="F99" s="33"/>
      <c r="G99" s="34"/>
      <c r="H99" s="33"/>
      <c r="I99" s="34"/>
      <c r="J99" s="33"/>
      <c r="K99" s="34"/>
      <c r="L99" s="35"/>
      <c r="M99" s="34"/>
    </row>
    <row r="100" ht="12.75" customHeight="1">
      <c r="A100" s="37"/>
      <c r="B100" s="37"/>
      <c r="C100" s="37"/>
      <c r="D100" s="33"/>
      <c r="E100" s="34"/>
      <c r="F100" s="33"/>
      <c r="G100" s="34"/>
      <c r="H100" s="33"/>
      <c r="I100" s="34"/>
      <c r="J100" s="33"/>
      <c r="K100" s="34"/>
      <c r="L100" s="35"/>
      <c r="M100" s="34"/>
    </row>
    <row r="101" ht="12.75" customHeight="1">
      <c r="A101" s="31"/>
      <c r="B101" s="31"/>
      <c r="C101" s="31"/>
      <c r="D101" s="33"/>
      <c r="E101" s="34"/>
      <c r="F101" s="33"/>
      <c r="G101" s="34"/>
      <c r="H101" s="33"/>
      <c r="I101" s="34"/>
      <c r="J101" s="33"/>
      <c r="K101" s="34"/>
      <c r="L101" s="35"/>
      <c r="M101" s="34"/>
    </row>
    <row r="102" ht="12.75" customHeight="1">
      <c r="A102" s="23"/>
      <c r="B102" s="23"/>
      <c r="C102" s="23"/>
      <c r="D102" s="33"/>
      <c r="E102" s="34"/>
      <c r="F102" s="33"/>
      <c r="G102" s="34"/>
      <c r="H102" s="33"/>
      <c r="I102" s="34"/>
      <c r="J102" s="33"/>
      <c r="K102" s="34"/>
      <c r="L102" s="35"/>
      <c r="M102" s="34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2">
    <mergeCell ref="D24:E24"/>
    <mergeCell ref="D25:E25"/>
    <mergeCell ref="F25:G25"/>
    <mergeCell ref="H25:I25"/>
    <mergeCell ref="J25:K25"/>
    <mergeCell ref="L25:M25"/>
    <mergeCell ref="D26:E26"/>
    <mergeCell ref="F26:G26"/>
    <mergeCell ref="H26:I26"/>
    <mergeCell ref="J26:K26"/>
    <mergeCell ref="F24:G24"/>
    <mergeCell ref="D27:E27"/>
    <mergeCell ref="F27:G27"/>
    <mergeCell ref="H27:I27"/>
    <mergeCell ref="J27:K27"/>
    <mergeCell ref="L27:M27"/>
    <mergeCell ref="D28:E28"/>
    <mergeCell ref="F28:G28"/>
    <mergeCell ref="H28:I28"/>
    <mergeCell ref="J28:K28"/>
    <mergeCell ref="L28:M28"/>
    <mergeCell ref="L29:M29"/>
    <mergeCell ref="D30:E30"/>
    <mergeCell ref="F30:G30"/>
    <mergeCell ref="H30:I30"/>
    <mergeCell ref="J30:K30"/>
    <mergeCell ref="L30:M30"/>
    <mergeCell ref="C22:E22"/>
    <mergeCell ref="C23:I23"/>
    <mergeCell ref="H24:I24"/>
    <mergeCell ref="J24:K24"/>
    <mergeCell ref="L24:M24"/>
    <mergeCell ref="N24:V30"/>
    <mergeCell ref="L26:M26"/>
    <mergeCell ref="D29:E29"/>
    <mergeCell ref="F29:G29"/>
    <mergeCell ref="D32:E32"/>
    <mergeCell ref="F32:G32"/>
    <mergeCell ref="H32:I32"/>
    <mergeCell ref="J32:K32"/>
    <mergeCell ref="L32:M32"/>
    <mergeCell ref="J34:K34"/>
    <mergeCell ref="L34:M34"/>
    <mergeCell ref="H35:I35"/>
    <mergeCell ref="J35:K35"/>
    <mergeCell ref="F37:G37"/>
    <mergeCell ref="F38:G38"/>
    <mergeCell ref="H34:I34"/>
    <mergeCell ref="H36:I36"/>
    <mergeCell ref="J36:K36"/>
    <mergeCell ref="L36:M36"/>
    <mergeCell ref="H37:I37"/>
    <mergeCell ref="J37:K37"/>
    <mergeCell ref="L37:M37"/>
    <mergeCell ref="H38:I38"/>
    <mergeCell ref="J38:K38"/>
    <mergeCell ref="L38:M38"/>
    <mergeCell ref="J41:K41"/>
    <mergeCell ref="L41:M41"/>
    <mergeCell ref="H42:I42"/>
    <mergeCell ref="J42:K42"/>
    <mergeCell ref="L42:M42"/>
    <mergeCell ref="H43:I43"/>
    <mergeCell ref="D45:E45"/>
    <mergeCell ref="F45:G45"/>
    <mergeCell ref="H45:I45"/>
    <mergeCell ref="J45:K45"/>
    <mergeCell ref="L45:M45"/>
    <mergeCell ref="F46:G46"/>
    <mergeCell ref="L46:M46"/>
    <mergeCell ref="D46:E46"/>
    <mergeCell ref="D48:E48"/>
    <mergeCell ref="F48:G48"/>
    <mergeCell ref="H48:I48"/>
    <mergeCell ref="J48:K48"/>
    <mergeCell ref="L48:M48"/>
    <mergeCell ref="D49:E49"/>
    <mergeCell ref="F49:G49"/>
    <mergeCell ref="H49:I49"/>
    <mergeCell ref="D50:E50"/>
    <mergeCell ref="F50:G50"/>
    <mergeCell ref="D51:E51"/>
    <mergeCell ref="F51:G51"/>
    <mergeCell ref="F52:G52"/>
    <mergeCell ref="D52:E52"/>
    <mergeCell ref="D53:E53"/>
    <mergeCell ref="F53:G53"/>
    <mergeCell ref="D54:E54"/>
    <mergeCell ref="F54:G54"/>
    <mergeCell ref="D56:E56"/>
    <mergeCell ref="F56:G56"/>
    <mergeCell ref="F59:G59"/>
    <mergeCell ref="H59:I59"/>
    <mergeCell ref="D57:E57"/>
    <mergeCell ref="F57:G57"/>
    <mergeCell ref="H57:I57"/>
    <mergeCell ref="D58:E58"/>
    <mergeCell ref="F58:G58"/>
    <mergeCell ref="H58:I58"/>
    <mergeCell ref="D59:E59"/>
    <mergeCell ref="F62:G62"/>
    <mergeCell ref="H62:I62"/>
    <mergeCell ref="D64:E64"/>
    <mergeCell ref="F64:G64"/>
    <mergeCell ref="H64:I64"/>
    <mergeCell ref="D60:E60"/>
    <mergeCell ref="F60:G60"/>
    <mergeCell ref="H60:I60"/>
    <mergeCell ref="D61:E61"/>
    <mergeCell ref="F61:G61"/>
    <mergeCell ref="H61:I61"/>
    <mergeCell ref="D62:E62"/>
    <mergeCell ref="H51:I51"/>
    <mergeCell ref="H53:I53"/>
    <mergeCell ref="J49:K49"/>
    <mergeCell ref="L49:M49"/>
    <mergeCell ref="H50:I50"/>
    <mergeCell ref="J50:K50"/>
    <mergeCell ref="L50:M50"/>
    <mergeCell ref="L52:M52"/>
    <mergeCell ref="L54:M54"/>
    <mergeCell ref="H54:I54"/>
    <mergeCell ref="J54:K54"/>
    <mergeCell ref="J57:K57"/>
    <mergeCell ref="L57:M57"/>
    <mergeCell ref="J58:K58"/>
    <mergeCell ref="L58:M58"/>
    <mergeCell ref="L59:M59"/>
    <mergeCell ref="J59:K59"/>
    <mergeCell ref="J60:K60"/>
    <mergeCell ref="L60:M60"/>
    <mergeCell ref="J61:K61"/>
    <mergeCell ref="L61:M61"/>
    <mergeCell ref="J62:K62"/>
    <mergeCell ref="L62:M62"/>
    <mergeCell ref="H69:I69"/>
    <mergeCell ref="J69:K69"/>
    <mergeCell ref="H77:I77"/>
    <mergeCell ref="J77:K77"/>
    <mergeCell ref="L77:M77"/>
    <mergeCell ref="J78:K78"/>
    <mergeCell ref="L78:M78"/>
    <mergeCell ref="H78:I78"/>
    <mergeCell ref="H81:I81"/>
    <mergeCell ref="J81:K81"/>
    <mergeCell ref="L81:M81"/>
    <mergeCell ref="H82:I82"/>
    <mergeCell ref="J82:K82"/>
    <mergeCell ref="L82:M82"/>
    <mergeCell ref="J93:K93"/>
    <mergeCell ref="L93:M93"/>
    <mergeCell ref="H91:I91"/>
    <mergeCell ref="J91:K91"/>
    <mergeCell ref="L91:M91"/>
    <mergeCell ref="H92:I92"/>
    <mergeCell ref="J92:K92"/>
    <mergeCell ref="L92:M92"/>
    <mergeCell ref="H93:I93"/>
    <mergeCell ref="J98:K98"/>
    <mergeCell ref="L98:M98"/>
    <mergeCell ref="H94:I94"/>
    <mergeCell ref="J94:K94"/>
    <mergeCell ref="L94:M94"/>
    <mergeCell ref="H97:I97"/>
    <mergeCell ref="J97:K97"/>
    <mergeCell ref="L97:M97"/>
    <mergeCell ref="H98:I98"/>
    <mergeCell ref="J101:K101"/>
    <mergeCell ref="L101:M101"/>
    <mergeCell ref="H99:I99"/>
    <mergeCell ref="J99:K99"/>
    <mergeCell ref="L99:M99"/>
    <mergeCell ref="H100:I100"/>
    <mergeCell ref="J100:K100"/>
    <mergeCell ref="L100:M100"/>
    <mergeCell ref="H101:I101"/>
    <mergeCell ref="H33:I33"/>
    <mergeCell ref="H41:I41"/>
    <mergeCell ref="H29:I29"/>
    <mergeCell ref="J29:K29"/>
    <mergeCell ref="N32:V38"/>
    <mergeCell ref="J33:K33"/>
    <mergeCell ref="L33:M33"/>
    <mergeCell ref="L35:M35"/>
    <mergeCell ref="N40:V46"/>
    <mergeCell ref="J51:K51"/>
    <mergeCell ref="L51:M51"/>
    <mergeCell ref="H52:I52"/>
    <mergeCell ref="J52:K52"/>
    <mergeCell ref="J53:K53"/>
    <mergeCell ref="L53:M53"/>
    <mergeCell ref="N48:V54"/>
    <mergeCell ref="N56:V62"/>
    <mergeCell ref="N64:V70"/>
    <mergeCell ref="N72:V78"/>
    <mergeCell ref="N80:V86"/>
    <mergeCell ref="N88:V94"/>
    <mergeCell ref="N96:V102"/>
    <mergeCell ref="H102:I102"/>
    <mergeCell ref="J102:K102"/>
    <mergeCell ref="L102:M102"/>
    <mergeCell ref="D33:E33"/>
    <mergeCell ref="F33:G33"/>
    <mergeCell ref="D34:E34"/>
    <mergeCell ref="F34:G34"/>
    <mergeCell ref="D35:E35"/>
    <mergeCell ref="F35:G35"/>
    <mergeCell ref="F36:G36"/>
    <mergeCell ref="D36:E36"/>
    <mergeCell ref="D37:E37"/>
    <mergeCell ref="D38:E38"/>
    <mergeCell ref="F40:G40"/>
    <mergeCell ref="H40:I40"/>
    <mergeCell ref="J40:K40"/>
    <mergeCell ref="L40:M40"/>
    <mergeCell ref="J43:K43"/>
    <mergeCell ref="L43:M43"/>
    <mergeCell ref="D44:E44"/>
    <mergeCell ref="F44:G44"/>
    <mergeCell ref="H44:I44"/>
    <mergeCell ref="J44:K44"/>
    <mergeCell ref="L44:M44"/>
    <mergeCell ref="H46:I46"/>
    <mergeCell ref="J46:K46"/>
    <mergeCell ref="H56:I56"/>
    <mergeCell ref="J56:K56"/>
    <mergeCell ref="L56:M56"/>
    <mergeCell ref="D40:E40"/>
    <mergeCell ref="D41:E41"/>
    <mergeCell ref="F41:G41"/>
    <mergeCell ref="D42:E42"/>
    <mergeCell ref="F42:G42"/>
    <mergeCell ref="D43:E43"/>
    <mergeCell ref="F43:G43"/>
    <mergeCell ref="J68:K68"/>
    <mergeCell ref="L68:M68"/>
    <mergeCell ref="J64:K64"/>
    <mergeCell ref="L64:M64"/>
    <mergeCell ref="L66:M66"/>
    <mergeCell ref="H67:I67"/>
    <mergeCell ref="J67:K67"/>
    <mergeCell ref="L67:M67"/>
    <mergeCell ref="H68:I68"/>
    <mergeCell ref="J74:K74"/>
    <mergeCell ref="L74:M74"/>
    <mergeCell ref="J75:K75"/>
    <mergeCell ref="L75:M75"/>
    <mergeCell ref="J76:K76"/>
    <mergeCell ref="L76:M76"/>
    <mergeCell ref="F74:G74"/>
    <mergeCell ref="H74:I74"/>
    <mergeCell ref="D75:E75"/>
    <mergeCell ref="F75:G75"/>
    <mergeCell ref="H75:I75"/>
    <mergeCell ref="F76:G76"/>
    <mergeCell ref="H76:I76"/>
    <mergeCell ref="D76:E76"/>
    <mergeCell ref="D77:E77"/>
    <mergeCell ref="F77:G77"/>
    <mergeCell ref="D78:E78"/>
    <mergeCell ref="F78:G78"/>
    <mergeCell ref="D80:E80"/>
    <mergeCell ref="F80:G80"/>
    <mergeCell ref="D81:E81"/>
    <mergeCell ref="F81:G81"/>
    <mergeCell ref="D82:E82"/>
    <mergeCell ref="F82:G82"/>
    <mergeCell ref="D83:E83"/>
    <mergeCell ref="F83:G83"/>
    <mergeCell ref="F84:G84"/>
    <mergeCell ref="D84:E84"/>
    <mergeCell ref="D85:E85"/>
    <mergeCell ref="D86:E86"/>
    <mergeCell ref="D88:E88"/>
    <mergeCell ref="D89:E89"/>
    <mergeCell ref="D90:E90"/>
    <mergeCell ref="D91:E91"/>
    <mergeCell ref="F85:G85"/>
    <mergeCell ref="F86:G86"/>
    <mergeCell ref="F88:G88"/>
    <mergeCell ref="F89:G89"/>
    <mergeCell ref="F90:G90"/>
    <mergeCell ref="F91:G91"/>
    <mergeCell ref="F92:G92"/>
    <mergeCell ref="D100:E100"/>
    <mergeCell ref="D101:E101"/>
    <mergeCell ref="D102:E102"/>
    <mergeCell ref="D92:E92"/>
    <mergeCell ref="D93:E93"/>
    <mergeCell ref="D94:E94"/>
    <mergeCell ref="D96:E96"/>
    <mergeCell ref="D97:E97"/>
    <mergeCell ref="D98:E98"/>
    <mergeCell ref="D99:E99"/>
    <mergeCell ref="F101:G101"/>
    <mergeCell ref="F102:G102"/>
    <mergeCell ref="F93:G93"/>
    <mergeCell ref="F94:G94"/>
    <mergeCell ref="F96:G96"/>
    <mergeCell ref="F97:G97"/>
    <mergeCell ref="F98:G98"/>
    <mergeCell ref="F99:G99"/>
    <mergeCell ref="F100:G100"/>
    <mergeCell ref="H66:I66"/>
    <mergeCell ref="J66:K66"/>
    <mergeCell ref="D65:E65"/>
    <mergeCell ref="F65:G65"/>
    <mergeCell ref="H65:I65"/>
    <mergeCell ref="J65:K65"/>
    <mergeCell ref="L65:M65"/>
    <mergeCell ref="D66:E66"/>
    <mergeCell ref="F66:G66"/>
    <mergeCell ref="D67:E67"/>
    <mergeCell ref="F67:G67"/>
    <mergeCell ref="D68:E68"/>
    <mergeCell ref="F68:G68"/>
    <mergeCell ref="D69:E69"/>
    <mergeCell ref="F69:G69"/>
    <mergeCell ref="L69:M69"/>
    <mergeCell ref="H72:I72"/>
    <mergeCell ref="J72:K72"/>
    <mergeCell ref="D70:E70"/>
    <mergeCell ref="F70:G70"/>
    <mergeCell ref="H70:I70"/>
    <mergeCell ref="J70:K70"/>
    <mergeCell ref="L70:M70"/>
    <mergeCell ref="F72:G72"/>
    <mergeCell ref="L72:M72"/>
    <mergeCell ref="D72:E72"/>
    <mergeCell ref="D73:E73"/>
    <mergeCell ref="F73:G73"/>
    <mergeCell ref="H73:I73"/>
    <mergeCell ref="J73:K73"/>
    <mergeCell ref="L73:M73"/>
    <mergeCell ref="D74:E74"/>
    <mergeCell ref="H80:I80"/>
    <mergeCell ref="J80:K80"/>
    <mergeCell ref="L80:M80"/>
    <mergeCell ref="J85:K85"/>
    <mergeCell ref="L85:M85"/>
    <mergeCell ref="H88:I88"/>
    <mergeCell ref="J88:K88"/>
    <mergeCell ref="L88:M88"/>
    <mergeCell ref="H83:I83"/>
    <mergeCell ref="J83:K83"/>
    <mergeCell ref="L83:M83"/>
    <mergeCell ref="H84:I84"/>
    <mergeCell ref="J84:K84"/>
    <mergeCell ref="L84:M84"/>
    <mergeCell ref="H85:I85"/>
    <mergeCell ref="J90:K90"/>
    <mergeCell ref="L90:M90"/>
    <mergeCell ref="H96:I96"/>
    <mergeCell ref="J96:K96"/>
    <mergeCell ref="L96:M96"/>
    <mergeCell ref="H86:I86"/>
    <mergeCell ref="J86:K86"/>
    <mergeCell ref="L86:M86"/>
    <mergeCell ref="H89:I89"/>
    <mergeCell ref="J89:K89"/>
    <mergeCell ref="L89:M89"/>
    <mergeCell ref="H90:I9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>
        <f>Sheet1!A25</f>
        <v>46082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Sheet1!C25&amp;""</f>
        <v>紺谷直人</v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Sheet1!C26&amp;""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>
        <f>AA6</f>
        <v>46082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Sheet1!B25</f>
        <v>9：00</v>
      </c>
      <c r="AH16" s="27"/>
      <c r="AI16" s="27"/>
      <c r="AJ16" s="27"/>
      <c r="AK16" s="27"/>
      <c r="AL16" s="88" t="s">
        <v>62</v>
      </c>
      <c r="AM16" s="87" t="str">
        <f>Sheet1!B26</f>
        <v>10：00</v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Sheet1!D25&amp;""</f>
        <v>ネズミ</v>
      </c>
      <c r="C20" s="70"/>
      <c r="D20" s="70"/>
      <c r="E20" s="70"/>
      <c r="F20" s="70"/>
      <c r="G20" s="70"/>
      <c r="H20" s="70"/>
      <c r="I20" s="98" t="str">
        <f>Sheet1!F25&amp;""</f>
        <v>クマリン系粉剤</v>
      </c>
      <c r="J20" s="70"/>
      <c r="K20" s="70"/>
      <c r="L20" s="70"/>
      <c r="M20" s="70"/>
      <c r="N20" s="70"/>
      <c r="O20" s="70"/>
      <c r="P20" s="70"/>
      <c r="Q20" s="34"/>
      <c r="R20" s="33" t="str">
        <f>Sheet1!H25&amp;""</f>
        <v>交換</v>
      </c>
      <c r="S20" s="70"/>
      <c r="T20" s="70"/>
      <c r="U20" s="70"/>
      <c r="V20" s="70"/>
      <c r="W20" s="34"/>
      <c r="X20" s="33" t="str">
        <f>Sheet1!J25&amp;""</f>
        <v>100ｇ</v>
      </c>
      <c r="Y20" s="70"/>
      <c r="Z20" s="70"/>
      <c r="AA20" s="70"/>
      <c r="AB20" s="70"/>
      <c r="AC20" s="70"/>
      <c r="AD20" s="34"/>
      <c r="AE20" s="99" t="str">
        <f>Sheet1!L25&amp;""</f>
        <v>薬剤喫食なし</v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Sheet1!D26&amp;""</f>
        <v/>
      </c>
      <c r="C21" s="70"/>
      <c r="D21" s="70"/>
      <c r="E21" s="70"/>
      <c r="F21" s="70"/>
      <c r="G21" s="70"/>
      <c r="H21" s="70"/>
      <c r="I21" s="33" t="str">
        <f>Sheet1!F26&amp;""</f>
        <v/>
      </c>
      <c r="J21" s="70"/>
      <c r="K21" s="70"/>
      <c r="L21" s="70"/>
      <c r="M21" s="70"/>
      <c r="N21" s="70"/>
      <c r="O21" s="70"/>
      <c r="P21" s="70"/>
      <c r="Q21" s="34"/>
      <c r="R21" s="56" t="str">
        <f>Sheet1!H26&amp;""</f>
        <v/>
      </c>
      <c r="W21" s="47"/>
      <c r="X21" s="33" t="str">
        <f>Sheet1!J26&amp;""</f>
        <v/>
      </c>
      <c r="Y21" s="70"/>
      <c r="Z21" s="70"/>
      <c r="AA21" s="70"/>
      <c r="AB21" s="70"/>
      <c r="AC21" s="70"/>
      <c r="AD21" s="34"/>
      <c r="AE21" s="99" t="str">
        <f>Sheet1!L26&amp;""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Sheet1!D27&amp;""</f>
        <v/>
      </c>
      <c r="C22" s="70"/>
      <c r="D22" s="70"/>
      <c r="E22" s="70"/>
      <c r="F22" s="70"/>
      <c r="G22" s="70"/>
      <c r="H22" s="70"/>
      <c r="I22" s="33" t="str">
        <f>Sheet1!F27&amp;""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Sheet1!H27&amp;""</f>
        <v/>
      </c>
      <c r="S22" s="70"/>
      <c r="T22" s="70"/>
      <c r="U22" s="70"/>
      <c r="V22" s="70"/>
      <c r="W22" s="34"/>
      <c r="X22" s="33" t="str">
        <f>Sheet1!J27&amp;""</f>
        <v/>
      </c>
      <c r="Y22" s="70"/>
      <c r="Z22" s="70"/>
      <c r="AA22" s="70"/>
      <c r="AB22" s="70"/>
      <c r="AC22" s="70"/>
      <c r="AD22" s="34"/>
      <c r="AE22" s="101" t="str">
        <f>Sheet1!L27&amp;""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102" t="str">
        <f>Sheet1!D28&amp;""</f>
        <v/>
      </c>
      <c r="C23" s="25"/>
      <c r="D23" s="25"/>
      <c r="E23" s="25"/>
      <c r="F23" s="25"/>
      <c r="G23" s="25"/>
      <c r="H23" s="25"/>
      <c r="I23" s="24" t="str">
        <f>Sheet1!F28&amp;""</f>
        <v/>
      </c>
      <c r="J23" s="25"/>
      <c r="K23" s="25"/>
      <c r="L23" s="25"/>
      <c r="M23" s="25"/>
      <c r="N23" s="25"/>
      <c r="O23" s="25"/>
      <c r="P23" s="25"/>
      <c r="Q23" s="38"/>
      <c r="R23" s="24" t="str">
        <f>Sheet1!H28&amp;""</f>
        <v/>
      </c>
      <c r="S23" s="25"/>
      <c r="T23" s="25"/>
      <c r="U23" s="25"/>
      <c r="V23" s="25"/>
      <c r="W23" s="38"/>
      <c r="X23" s="24" t="str">
        <f>Sheet1!J28&amp;""</f>
        <v/>
      </c>
      <c r="Y23" s="25"/>
      <c r="Z23" s="25"/>
      <c r="AA23" s="25"/>
      <c r="AB23" s="25"/>
      <c r="AC23" s="25"/>
      <c r="AD23" s="38"/>
      <c r="AE23" s="101" t="str">
        <f>Sheet1!L28&amp;""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102" t="str">
        <f>Sheet1!D29&amp;""</f>
        <v/>
      </c>
      <c r="C24" s="25"/>
      <c r="D24" s="25"/>
      <c r="E24" s="25"/>
      <c r="F24" s="25"/>
      <c r="G24" s="25"/>
      <c r="H24" s="25"/>
      <c r="I24" s="33" t="str">
        <f>Sheet1!F29&amp;""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Sheet1!H29&amp;""</f>
        <v/>
      </c>
      <c r="S24" s="70"/>
      <c r="T24" s="70"/>
      <c r="U24" s="70"/>
      <c r="V24" s="70"/>
      <c r="W24" s="34"/>
      <c r="X24" s="33" t="str">
        <f>Sheet1!J29&amp;""</f>
        <v/>
      </c>
      <c r="Y24" s="70"/>
      <c r="Z24" s="70"/>
      <c r="AA24" s="70"/>
      <c r="AB24" s="70"/>
      <c r="AC24" s="70"/>
      <c r="AD24" s="34"/>
      <c r="AE24" s="101" t="str">
        <f>Sheet1!L29&amp;""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03" t="str">
        <f>Sheet1!D30&amp;""</f>
        <v/>
      </c>
      <c r="I25" s="104" t="str">
        <f>Sheet1!F30&amp;""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Sheet1!H30&amp;""</f>
        <v/>
      </c>
      <c r="S25" s="105"/>
      <c r="T25" s="105"/>
      <c r="U25" s="105"/>
      <c r="V25" s="105"/>
      <c r="W25" s="106"/>
      <c r="X25" s="104" t="str">
        <f>Sheet1!J30&amp;""</f>
        <v/>
      </c>
      <c r="Y25" s="105"/>
      <c r="Z25" s="105"/>
      <c r="AA25" s="105"/>
      <c r="AB25" s="105"/>
      <c r="AC25" s="105"/>
      <c r="AD25" s="106"/>
      <c r="AE25" s="107" t="str">
        <f>Sheet1!L30&amp;""</f>
        <v/>
      </c>
      <c r="AP25" s="108"/>
    </row>
    <row r="26" ht="24.0" customHeight="1">
      <c r="B26" s="109" t="str">
        <f>Sheet1!N24&amp;""</f>
        <v>【駆除作業報告】
対象害虫/害獣：ネズミ
処理方法：交換
備考：薬剤喫食なし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Sheet1!A27&amp;""</f>
        <v>ネズミ</v>
      </c>
      <c r="C31" s="70"/>
      <c r="D31" s="70"/>
      <c r="E31" s="70"/>
      <c r="F31" s="70"/>
      <c r="G31" s="70"/>
      <c r="H31" s="33" t="str">
        <f>Sheet1!A28&amp;""</f>
        <v/>
      </c>
      <c r="I31" s="70"/>
      <c r="J31" s="70"/>
      <c r="K31" s="70"/>
      <c r="L31" s="70"/>
      <c r="M31" s="70"/>
      <c r="N31" s="70"/>
      <c r="O31" s="34"/>
      <c r="P31" s="115" t="str">
        <f>Sheet1!A29&amp;""</f>
        <v/>
      </c>
      <c r="Q31" s="70"/>
      <c r="R31" s="70"/>
      <c r="S31" s="70"/>
      <c r="T31" s="70"/>
      <c r="U31" s="70"/>
      <c r="V31" s="70"/>
      <c r="W31" s="70"/>
      <c r="X31" s="33" t="str">
        <f>Sheet1!A30&amp;""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Sheet1!B27&amp;""</f>
        <v>－</v>
      </c>
      <c r="C32" s="91"/>
      <c r="D32" s="91"/>
      <c r="E32" s="91"/>
      <c r="F32" s="91"/>
      <c r="G32" s="91"/>
      <c r="H32" s="117" t="str">
        <f>Sheet1!B28&amp;""</f>
        <v/>
      </c>
      <c r="I32" s="91"/>
      <c r="J32" s="91"/>
      <c r="K32" s="91"/>
      <c r="L32" s="91"/>
      <c r="M32" s="91"/>
      <c r="N32" s="91"/>
      <c r="O32" s="92"/>
      <c r="P32" s="118" t="str">
        <f>Sheet1!B29&amp;""</f>
        <v/>
      </c>
      <c r="Q32" s="91"/>
      <c r="R32" s="91"/>
      <c r="S32" s="91"/>
      <c r="T32" s="91"/>
      <c r="U32" s="91"/>
      <c r="V32" s="91"/>
      <c r="W32" s="91"/>
      <c r="X32" s="117" t="str">
        <f>Sheet1!B30&amp;""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 t="str">
        <f>Sheet1!A33</f>
        <v/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Sheet1!C33&amp;""</f>
        <v/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Sheet1!C34&amp;""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 t="str">
        <f>AA6</f>
        <v/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Sheet1!B33</f>
        <v/>
      </c>
      <c r="AH16" s="27"/>
      <c r="AI16" s="27"/>
      <c r="AJ16" s="27"/>
      <c r="AK16" s="27"/>
      <c r="AL16" s="88" t="s">
        <v>62</v>
      </c>
      <c r="AM16" s="87" t="str">
        <f>Sheet1!B34</f>
        <v/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Sheet1!D33&amp;""</f>
        <v/>
      </c>
      <c r="C20" s="70"/>
      <c r="D20" s="70"/>
      <c r="E20" s="70"/>
      <c r="F20" s="70"/>
      <c r="G20" s="70"/>
      <c r="H20" s="70"/>
      <c r="I20" s="33" t="str">
        <f>Sheet1!F33&amp;""</f>
        <v/>
      </c>
      <c r="J20" s="70"/>
      <c r="K20" s="70"/>
      <c r="L20" s="70"/>
      <c r="M20" s="70"/>
      <c r="N20" s="70"/>
      <c r="O20" s="70"/>
      <c r="P20" s="70"/>
      <c r="Q20" s="34"/>
      <c r="R20" s="33" t="str">
        <f>Sheet1!H33&amp;""</f>
        <v/>
      </c>
      <c r="S20" s="70"/>
      <c r="T20" s="70"/>
      <c r="U20" s="70"/>
      <c r="V20" s="70"/>
      <c r="W20" s="34"/>
      <c r="X20" s="33" t="str">
        <f>Sheet1!J33&amp;""</f>
        <v/>
      </c>
      <c r="Y20" s="70"/>
      <c r="Z20" s="70"/>
      <c r="AA20" s="70"/>
      <c r="AB20" s="70"/>
      <c r="AC20" s="70"/>
      <c r="AD20" s="34"/>
      <c r="AE20" s="126" t="str">
        <f>Sheet1!L33&amp;""</f>
        <v/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Sheet1!D34&amp;""</f>
        <v/>
      </c>
      <c r="C21" s="70"/>
      <c r="D21" s="70"/>
      <c r="E21" s="70"/>
      <c r="F21" s="70"/>
      <c r="G21" s="70"/>
      <c r="H21" s="70"/>
      <c r="I21" s="33" t="str">
        <f>Sheet1!F34&amp;""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Sheet1!H34&amp;""</f>
        <v/>
      </c>
      <c r="S21" s="70"/>
      <c r="T21" s="70"/>
      <c r="U21" s="70"/>
      <c r="V21" s="70"/>
      <c r="W21" s="34"/>
      <c r="X21" s="33" t="str">
        <f>Sheet1!J34&amp;""</f>
        <v/>
      </c>
      <c r="Y21" s="70"/>
      <c r="Z21" s="70"/>
      <c r="AA21" s="70"/>
      <c r="AB21" s="70"/>
      <c r="AC21" s="70"/>
      <c r="AD21" s="34"/>
      <c r="AE21" s="101" t="str">
        <f>Sheet1!L34&amp;""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Sheet1!D35&amp;""</f>
        <v/>
      </c>
      <c r="C22" s="70"/>
      <c r="D22" s="70"/>
      <c r="E22" s="70"/>
      <c r="F22" s="70"/>
      <c r="G22" s="70"/>
      <c r="H22" s="70"/>
      <c r="I22" s="33" t="str">
        <f>Sheet1!F35&amp;""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Sheet1!H35&amp;""</f>
        <v/>
      </c>
      <c r="S22" s="70"/>
      <c r="T22" s="70"/>
      <c r="U22" s="70"/>
      <c r="V22" s="70"/>
      <c r="W22" s="34"/>
      <c r="X22" s="33" t="str">
        <f>Sheet1!J35&amp;""</f>
        <v/>
      </c>
      <c r="Y22" s="70"/>
      <c r="Z22" s="70"/>
      <c r="AA22" s="70"/>
      <c r="AB22" s="70"/>
      <c r="AC22" s="70"/>
      <c r="AD22" s="34"/>
      <c r="AE22" s="101" t="str">
        <f>Sheet1!L35&amp;""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Sheet1!D36&amp;""</f>
        <v/>
      </c>
      <c r="C23" s="70"/>
      <c r="D23" s="70"/>
      <c r="E23" s="70"/>
      <c r="F23" s="70"/>
      <c r="G23" s="70"/>
      <c r="H23" s="70"/>
      <c r="I23" s="33" t="str">
        <f>Sheet1!F36&amp;""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Sheet1!H36&amp;""</f>
        <v/>
      </c>
      <c r="S23" s="70"/>
      <c r="T23" s="70"/>
      <c r="U23" s="70"/>
      <c r="V23" s="70"/>
      <c r="W23" s="34"/>
      <c r="X23" s="33" t="str">
        <f>Sheet1!J36&amp;""</f>
        <v/>
      </c>
      <c r="Y23" s="70"/>
      <c r="Z23" s="70"/>
      <c r="AA23" s="70"/>
      <c r="AB23" s="70"/>
      <c r="AC23" s="70"/>
      <c r="AD23" s="34"/>
      <c r="AE23" s="101" t="str">
        <f>Sheet1!L36&amp;""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Sheet1!D37&amp;""</f>
        <v/>
      </c>
      <c r="C24" s="70"/>
      <c r="D24" s="70"/>
      <c r="E24" s="70"/>
      <c r="F24" s="70"/>
      <c r="G24" s="70"/>
      <c r="H24" s="70"/>
      <c r="I24" s="33" t="str">
        <f>Sheet1!F37&amp;""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Sheet1!H37&amp;""</f>
        <v/>
      </c>
      <c r="S24" s="70"/>
      <c r="T24" s="70"/>
      <c r="U24" s="70"/>
      <c r="V24" s="70"/>
      <c r="W24" s="34"/>
      <c r="X24" s="33" t="str">
        <f>Sheet1!J37&amp;""</f>
        <v/>
      </c>
      <c r="Y24" s="70"/>
      <c r="Z24" s="70"/>
      <c r="AA24" s="70"/>
      <c r="AB24" s="70"/>
      <c r="AC24" s="70"/>
      <c r="AD24" s="34"/>
      <c r="AE24" s="101" t="str">
        <f>Sheet1!L37&amp;""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Sheet1!D38&amp;""</f>
        <v/>
      </c>
      <c r="C25" s="105"/>
      <c r="D25" s="105"/>
      <c r="E25" s="105"/>
      <c r="F25" s="105"/>
      <c r="G25" s="105"/>
      <c r="H25" s="105"/>
      <c r="I25" s="104" t="str">
        <f>Sheet1!F38&amp;""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Sheet1!H38&amp;""</f>
        <v/>
      </c>
      <c r="S25" s="105"/>
      <c r="T25" s="105"/>
      <c r="U25" s="105"/>
      <c r="V25" s="105"/>
      <c r="W25" s="106"/>
      <c r="X25" s="104" t="str">
        <f>Sheet1!J38&amp;""</f>
        <v/>
      </c>
      <c r="Y25" s="105"/>
      <c r="Z25" s="105"/>
      <c r="AA25" s="105"/>
      <c r="AB25" s="105"/>
      <c r="AC25" s="105"/>
      <c r="AD25" s="106"/>
      <c r="AE25" s="128" t="str">
        <f>Sheet1!L38&amp;""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Sheet1!N32&amp;""</f>
        <v>【駆除作業報告】
対象害虫/害獣：
処理方法：
備考：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Sheet1!A35&amp;""</f>
        <v/>
      </c>
      <c r="C31" s="70"/>
      <c r="D31" s="70"/>
      <c r="E31" s="70"/>
      <c r="F31" s="70"/>
      <c r="G31" s="70"/>
      <c r="H31" s="33" t="str">
        <f>Sheet1!A36&amp;""</f>
        <v/>
      </c>
      <c r="I31" s="70"/>
      <c r="J31" s="70"/>
      <c r="K31" s="70"/>
      <c r="L31" s="70"/>
      <c r="M31" s="70"/>
      <c r="N31" s="70"/>
      <c r="O31" s="34"/>
      <c r="P31" s="115" t="str">
        <f>Sheet1!A37&amp;""</f>
        <v/>
      </c>
      <c r="Q31" s="70"/>
      <c r="R31" s="70"/>
      <c r="S31" s="70"/>
      <c r="T31" s="70"/>
      <c r="U31" s="70"/>
      <c r="V31" s="70"/>
      <c r="W31" s="70"/>
      <c r="X31" s="33" t="str">
        <f>Sheet1!A38&amp;""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Sheet1!B35&amp;""</f>
        <v/>
      </c>
      <c r="C32" s="91"/>
      <c r="D32" s="91"/>
      <c r="E32" s="91"/>
      <c r="F32" s="91"/>
      <c r="G32" s="91"/>
      <c r="H32" s="117" t="str">
        <f>Sheet1!B36&amp;""</f>
        <v/>
      </c>
      <c r="I32" s="91"/>
      <c r="J32" s="91"/>
      <c r="K32" s="91"/>
      <c r="L32" s="91"/>
      <c r="M32" s="91"/>
      <c r="N32" s="91"/>
      <c r="O32" s="92"/>
      <c r="P32" s="118" t="str">
        <f>Sheet1!B37&amp;""</f>
        <v/>
      </c>
      <c r="Q32" s="91"/>
      <c r="R32" s="91"/>
      <c r="S32" s="91"/>
      <c r="T32" s="91"/>
      <c r="U32" s="91"/>
      <c r="V32" s="91"/>
      <c r="W32" s="91"/>
      <c r="X32" s="117" t="str">
        <f>Sheet1!B38&amp;""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05475308963862962" footer="0.0" header="0.0" left="0.529279866506753" right="0.25" top="0.18251029879543207"/>
  <pageSetup paperSize="9" scale="11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 t="str">
        <f>Sheet1!A41</f>
        <v/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Sheet1!C41&amp;""</f>
        <v/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Sheet1!C42&amp;""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 t="str">
        <f>AA6</f>
        <v/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Sheet1!B41</f>
        <v/>
      </c>
      <c r="AH16" s="27"/>
      <c r="AI16" s="27"/>
      <c r="AJ16" s="27"/>
      <c r="AK16" s="27"/>
      <c r="AL16" s="88" t="s">
        <v>62</v>
      </c>
      <c r="AM16" s="87" t="str">
        <f>Sheet1!B42</f>
        <v/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Sheet1!D41&amp;""</f>
        <v/>
      </c>
      <c r="C20" s="70"/>
      <c r="D20" s="70"/>
      <c r="E20" s="70"/>
      <c r="F20" s="70"/>
      <c r="G20" s="70"/>
      <c r="H20" s="70"/>
      <c r="I20" s="98" t="str">
        <f>Sheet1!F41&amp;""</f>
        <v/>
      </c>
      <c r="J20" s="70"/>
      <c r="K20" s="70"/>
      <c r="L20" s="70"/>
      <c r="M20" s="70"/>
      <c r="N20" s="70"/>
      <c r="O20" s="70"/>
      <c r="P20" s="70"/>
      <c r="Q20" s="34"/>
      <c r="R20" s="33" t="str">
        <f>Sheet1!H41&amp;""</f>
        <v/>
      </c>
      <c r="S20" s="70"/>
      <c r="T20" s="70"/>
      <c r="U20" s="70"/>
      <c r="V20" s="70"/>
      <c r="W20" s="34"/>
      <c r="X20" s="33" t="str">
        <f>Sheet1!J41&amp;""</f>
        <v/>
      </c>
      <c r="Y20" s="70"/>
      <c r="Z20" s="70"/>
      <c r="AA20" s="70"/>
      <c r="AB20" s="70"/>
      <c r="AC20" s="70"/>
      <c r="AD20" s="34"/>
      <c r="AE20" s="130" t="str">
        <f>Sheet1!L41&amp;""</f>
        <v/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Sheet1!D42&amp;""</f>
        <v/>
      </c>
      <c r="C21" s="70"/>
      <c r="D21" s="70"/>
      <c r="E21" s="70"/>
      <c r="F21" s="70"/>
      <c r="G21" s="70"/>
      <c r="H21" s="70"/>
      <c r="I21" s="33" t="str">
        <f>Sheet1!F42&amp;""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Sheet1!H42&amp;""</f>
        <v/>
      </c>
      <c r="S21" s="70"/>
      <c r="T21" s="70"/>
      <c r="U21" s="70"/>
      <c r="V21" s="70"/>
      <c r="W21" s="34"/>
      <c r="X21" s="33" t="str">
        <f>Sheet1!J42&amp;""</f>
        <v/>
      </c>
      <c r="Y21" s="70"/>
      <c r="Z21" s="70"/>
      <c r="AA21" s="70"/>
      <c r="AB21" s="70"/>
      <c r="AC21" s="70"/>
      <c r="AD21" s="34"/>
      <c r="AE21" s="126" t="str">
        <f>Sheet1!L42&amp;""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Sheet1!D43&amp;""</f>
        <v/>
      </c>
      <c r="C22" s="70"/>
      <c r="D22" s="70"/>
      <c r="E22" s="70"/>
      <c r="F22" s="70"/>
      <c r="G22" s="70"/>
      <c r="H22" s="70"/>
      <c r="I22" s="33" t="str">
        <f>Sheet1!F43&amp;""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Sheet1!H43&amp;""</f>
        <v/>
      </c>
      <c r="S22" s="70"/>
      <c r="T22" s="70"/>
      <c r="U22" s="70"/>
      <c r="V22" s="70"/>
      <c r="W22" s="34"/>
      <c r="X22" s="33" t="str">
        <f>Sheet1!J43&amp;""</f>
        <v/>
      </c>
      <c r="Y22" s="70"/>
      <c r="Z22" s="70"/>
      <c r="AA22" s="70"/>
      <c r="AB22" s="70"/>
      <c r="AC22" s="70"/>
      <c r="AD22" s="34"/>
      <c r="AE22" s="101" t="str">
        <f>Sheet1!L43&amp;""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Sheet1!D44&amp;""</f>
        <v/>
      </c>
      <c r="C23" s="70"/>
      <c r="D23" s="70"/>
      <c r="E23" s="70"/>
      <c r="F23" s="70"/>
      <c r="G23" s="70"/>
      <c r="H23" s="70"/>
      <c r="I23" s="33" t="str">
        <f>Sheet1!F44&amp;""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Sheet1!H44&amp;""</f>
        <v/>
      </c>
      <c r="S23" s="70"/>
      <c r="T23" s="70"/>
      <c r="U23" s="70"/>
      <c r="V23" s="70"/>
      <c r="W23" s="34"/>
      <c r="X23" s="33" t="str">
        <f>Sheet1!J44&amp;""</f>
        <v/>
      </c>
      <c r="Y23" s="70"/>
      <c r="Z23" s="70"/>
      <c r="AA23" s="70"/>
      <c r="AB23" s="70"/>
      <c r="AC23" s="70"/>
      <c r="AD23" s="34"/>
      <c r="AE23" s="115" t="str">
        <f>Sheet1!L44&amp;""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Sheet1!D45&amp;""</f>
        <v/>
      </c>
      <c r="C24" s="70"/>
      <c r="D24" s="70"/>
      <c r="E24" s="70"/>
      <c r="F24" s="70"/>
      <c r="G24" s="70"/>
      <c r="H24" s="70"/>
      <c r="I24" s="33" t="str">
        <f>Sheet1!F45&amp;""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Sheet1!H45&amp;""</f>
        <v/>
      </c>
      <c r="S24" s="70"/>
      <c r="T24" s="70"/>
      <c r="U24" s="70"/>
      <c r="V24" s="70"/>
      <c r="W24" s="34"/>
      <c r="X24" s="33" t="str">
        <f>Sheet1!J45&amp;""</f>
        <v/>
      </c>
      <c r="Y24" s="70"/>
      <c r="Z24" s="70"/>
      <c r="AA24" s="70"/>
      <c r="AB24" s="70"/>
      <c r="AC24" s="70"/>
      <c r="AD24" s="34"/>
      <c r="AE24" s="115" t="str">
        <f>Sheet1!L45&amp;""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Sheet1!D46&amp;""</f>
        <v/>
      </c>
      <c r="C25" s="105"/>
      <c r="D25" s="105"/>
      <c r="E25" s="105"/>
      <c r="F25" s="105"/>
      <c r="G25" s="105"/>
      <c r="H25" s="105"/>
      <c r="I25" s="104" t="str">
        <f>Sheet1!F46&amp;""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Sheet1!H46&amp;""</f>
        <v/>
      </c>
      <c r="S25" s="105"/>
      <c r="T25" s="105"/>
      <c r="U25" s="105"/>
      <c r="V25" s="105"/>
      <c r="W25" s="106"/>
      <c r="X25" s="104" t="str">
        <f>Sheet1!J46&amp;""</f>
        <v/>
      </c>
      <c r="Y25" s="105"/>
      <c r="Z25" s="105"/>
      <c r="AA25" s="105"/>
      <c r="AB25" s="105"/>
      <c r="AC25" s="105"/>
      <c r="AD25" s="106"/>
      <c r="AE25" s="131" t="str">
        <f>Sheet1!L46&amp;""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Sheet1!N40&amp;""</f>
        <v>【駆除作業報告】
対象害虫/害獣：
処理方法：
備考：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Sheet1!A43&amp;""</f>
        <v/>
      </c>
      <c r="C31" s="70"/>
      <c r="D31" s="70"/>
      <c r="E31" s="70"/>
      <c r="F31" s="70"/>
      <c r="G31" s="70"/>
      <c r="H31" s="33" t="str">
        <f>Sheet1!A44&amp;""</f>
        <v/>
      </c>
      <c r="I31" s="70"/>
      <c r="J31" s="70"/>
      <c r="K31" s="70"/>
      <c r="L31" s="70"/>
      <c r="M31" s="70"/>
      <c r="N31" s="70"/>
      <c r="O31" s="34"/>
      <c r="P31" s="115" t="str">
        <f>Sheet1!A45&amp;""</f>
        <v/>
      </c>
      <c r="Q31" s="70"/>
      <c r="R31" s="70"/>
      <c r="S31" s="70"/>
      <c r="T31" s="70"/>
      <c r="U31" s="70"/>
      <c r="V31" s="70"/>
      <c r="W31" s="70"/>
      <c r="X31" s="33" t="str">
        <f>Sheet1!A46&amp;""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Sheet1!B43&amp;""</f>
        <v/>
      </c>
      <c r="C32" s="91"/>
      <c r="D32" s="91"/>
      <c r="E32" s="91"/>
      <c r="F32" s="91"/>
      <c r="G32" s="91"/>
      <c r="H32" s="117" t="str">
        <f>Sheet1!B44&amp;""</f>
        <v/>
      </c>
      <c r="I32" s="91"/>
      <c r="J32" s="91"/>
      <c r="K32" s="91"/>
      <c r="L32" s="91"/>
      <c r="M32" s="91"/>
      <c r="N32" s="91"/>
      <c r="O32" s="92"/>
      <c r="P32" s="118" t="str">
        <f>Sheet1!B45&amp;""</f>
        <v/>
      </c>
      <c r="Q32" s="91"/>
      <c r="R32" s="91"/>
      <c r="S32" s="91"/>
      <c r="T32" s="91"/>
      <c r="U32" s="91"/>
      <c r="V32" s="91"/>
      <c r="W32" s="91"/>
      <c r="X32" s="117" t="str">
        <f>Sheet1!B46&amp;""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paperSize="9" scale="10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 t="str">
        <f>Sheet1!A49</f>
        <v/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Sheet1!C49&amp;""</f>
        <v/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Sheet1!C50&amp;""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 t="str">
        <f>AA6</f>
        <v/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Sheet1!B49</f>
        <v/>
      </c>
      <c r="AH16" s="27"/>
      <c r="AI16" s="27"/>
      <c r="AJ16" s="27"/>
      <c r="AK16" s="27"/>
      <c r="AL16" s="88" t="s">
        <v>62</v>
      </c>
      <c r="AM16" s="87" t="str">
        <f>Sheet1!B50</f>
        <v/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Sheet1!D49&amp;""</f>
        <v/>
      </c>
      <c r="C20" s="70"/>
      <c r="D20" s="70"/>
      <c r="E20" s="70"/>
      <c r="F20" s="70"/>
      <c r="G20" s="70"/>
      <c r="H20" s="70"/>
      <c r="I20" s="98" t="str">
        <f>Sheet1!F49&amp;""</f>
        <v/>
      </c>
      <c r="J20" s="70"/>
      <c r="K20" s="70"/>
      <c r="L20" s="70"/>
      <c r="M20" s="70"/>
      <c r="N20" s="70"/>
      <c r="O20" s="70"/>
      <c r="P20" s="70"/>
      <c r="Q20" s="34"/>
      <c r="R20" s="33" t="str">
        <f>Sheet1!H49&amp;""</f>
        <v/>
      </c>
      <c r="S20" s="70"/>
      <c r="T20" s="70"/>
      <c r="U20" s="70"/>
      <c r="V20" s="70"/>
      <c r="W20" s="34"/>
      <c r="X20" s="33" t="str">
        <f>Sheet1!J49&amp;""</f>
        <v/>
      </c>
      <c r="Y20" s="70"/>
      <c r="Z20" s="70"/>
      <c r="AA20" s="70"/>
      <c r="AB20" s="70"/>
      <c r="AC20" s="70"/>
      <c r="AD20" s="34"/>
      <c r="AE20" s="99" t="str">
        <f>Sheet1!L49&amp;""</f>
        <v/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Sheet1!D50&amp;""</f>
        <v/>
      </c>
      <c r="C21" s="70"/>
      <c r="D21" s="70"/>
      <c r="E21" s="70"/>
      <c r="F21" s="70"/>
      <c r="G21" s="70"/>
      <c r="H21" s="70"/>
      <c r="I21" s="33" t="str">
        <f>Sheet1!F50&amp;""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Sheet1!H50&amp;""</f>
        <v/>
      </c>
      <c r="S21" s="70"/>
      <c r="T21" s="70"/>
      <c r="U21" s="70"/>
      <c r="V21" s="70"/>
      <c r="W21" s="34"/>
      <c r="X21" s="33" t="str">
        <f>Sheet1!J50&amp;""</f>
        <v/>
      </c>
      <c r="Y21" s="70"/>
      <c r="Z21" s="70"/>
      <c r="AA21" s="70"/>
      <c r="AB21" s="70"/>
      <c r="AC21" s="70"/>
      <c r="AD21" s="34"/>
      <c r="AE21" s="99" t="str">
        <f>Sheet1!L50&amp;""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Sheet1!D51&amp;""</f>
        <v/>
      </c>
      <c r="C22" s="70"/>
      <c r="D22" s="70"/>
      <c r="E22" s="70"/>
      <c r="F22" s="70"/>
      <c r="G22" s="70"/>
      <c r="H22" s="70"/>
      <c r="I22" s="33" t="str">
        <f>Sheet1!F51&amp;""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Sheet1!H51&amp;""</f>
        <v/>
      </c>
      <c r="S22" s="70"/>
      <c r="T22" s="70"/>
      <c r="U22" s="70"/>
      <c r="V22" s="70"/>
      <c r="W22" s="34"/>
      <c r="X22" s="33" t="str">
        <f>Sheet1!J51&amp;""</f>
        <v/>
      </c>
      <c r="Y22" s="70"/>
      <c r="Z22" s="70"/>
      <c r="AA22" s="70"/>
      <c r="AB22" s="70"/>
      <c r="AC22" s="70"/>
      <c r="AD22" s="34"/>
      <c r="AE22" s="99" t="str">
        <f>Sheet1!L51&amp;""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Sheet1!D52&amp;""</f>
        <v/>
      </c>
      <c r="C23" s="70"/>
      <c r="D23" s="70"/>
      <c r="E23" s="70"/>
      <c r="F23" s="70"/>
      <c r="G23" s="70"/>
      <c r="H23" s="70"/>
      <c r="I23" s="33" t="str">
        <f>Sheet1!F52&amp;""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Sheet1!H52&amp;""</f>
        <v/>
      </c>
      <c r="S23" s="70"/>
      <c r="T23" s="70"/>
      <c r="U23" s="70"/>
      <c r="V23" s="70"/>
      <c r="W23" s="34"/>
      <c r="X23" s="33" t="str">
        <f>Sheet1!J52&amp;""</f>
        <v/>
      </c>
      <c r="Y23" s="70"/>
      <c r="Z23" s="70"/>
      <c r="AA23" s="70"/>
      <c r="AB23" s="70"/>
      <c r="AC23" s="70"/>
      <c r="AD23" s="34"/>
      <c r="AE23" s="132" t="str">
        <f>Sheet1!L52&amp;""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Sheet1!D53&amp;""</f>
        <v/>
      </c>
      <c r="C24" s="70"/>
      <c r="D24" s="70"/>
      <c r="E24" s="70"/>
      <c r="F24" s="70"/>
      <c r="G24" s="70"/>
      <c r="H24" s="70"/>
      <c r="I24" s="33" t="str">
        <f>Sheet1!F53&amp;""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Sheet1!H53&amp;""</f>
        <v/>
      </c>
      <c r="S24" s="70"/>
      <c r="T24" s="70"/>
      <c r="U24" s="70"/>
      <c r="V24" s="70"/>
      <c r="W24" s="34"/>
      <c r="X24" s="33" t="str">
        <f>Sheet1!J53&amp;""</f>
        <v/>
      </c>
      <c r="Y24" s="70"/>
      <c r="Z24" s="70"/>
      <c r="AA24" s="70"/>
      <c r="AB24" s="70"/>
      <c r="AC24" s="70"/>
      <c r="AD24" s="34"/>
      <c r="AE24" s="133" t="str">
        <f>Sheet1!L53&amp;""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Sheet1!D54&amp;""</f>
        <v/>
      </c>
      <c r="C25" s="105"/>
      <c r="D25" s="105"/>
      <c r="E25" s="105"/>
      <c r="F25" s="105"/>
      <c r="G25" s="105"/>
      <c r="H25" s="105"/>
      <c r="I25" s="104" t="str">
        <f>Sheet1!F54&amp;""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Sheet1!H54&amp;""</f>
        <v/>
      </c>
      <c r="S25" s="105"/>
      <c r="T25" s="105"/>
      <c r="U25" s="105"/>
      <c r="V25" s="105"/>
      <c r="W25" s="106"/>
      <c r="X25" s="104" t="str">
        <f>Sheet1!J54&amp;""</f>
        <v/>
      </c>
      <c r="Y25" s="105"/>
      <c r="Z25" s="105"/>
      <c r="AA25" s="105"/>
      <c r="AB25" s="105"/>
      <c r="AC25" s="105"/>
      <c r="AD25" s="106"/>
      <c r="AE25" s="134" t="str">
        <f>Sheet1!L54&amp;""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Sheet1!N48&amp;""</f>
        <v>【駆除作業報告】
対象害虫/害獣：
処理方法：
備考：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Sheet1!A51&amp;""</f>
        <v/>
      </c>
      <c r="C31" s="70"/>
      <c r="D31" s="70"/>
      <c r="E31" s="70"/>
      <c r="F31" s="70"/>
      <c r="G31" s="70"/>
      <c r="H31" s="33" t="str">
        <f>Sheet1!A52&amp;""</f>
        <v/>
      </c>
      <c r="I31" s="70"/>
      <c r="J31" s="70"/>
      <c r="K31" s="70"/>
      <c r="L31" s="70"/>
      <c r="M31" s="70"/>
      <c r="N31" s="70"/>
      <c r="O31" s="34"/>
      <c r="P31" s="115" t="str">
        <f>Sheet1!A53&amp;""</f>
        <v/>
      </c>
      <c r="Q31" s="70"/>
      <c r="R31" s="70"/>
      <c r="S31" s="70"/>
      <c r="T31" s="70"/>
      <c r="U31" s="70"/>
      <c r="V31" s="70"/>
      <c r="W31" s="70"/>
      <c r="X31" s="33" t="str">
        <f>Sheet1!A54&amp;""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Sheet1!B51&amp;""</f>
        <v/>
      </c>
      <c r="C32" s="91"/>
      <c r="D32" s="91"/>
      <c r="E32" s="91"/>
      <c r="F32" s="91"/>
      <c r="G32" s="91"/>
      <c r="H32" s="117" t="str">
        <f>Sheet1!B52&amp;""</f>
        <v/>
      </c>
      <c r="I32" s="91"/>
      <c r="J32" s="91"/>
      <c r="K32" s="91"/>
      <c r="L32" s="91"/>
      <c r="M32" s="91"/>
      <c r="N32" s="91"/>
      <c r="O32" s="92"/>
      <c r="P32" s="118" t="str">
        <f>Sheet1!B53&amp;""</f>
        <v/>
      </c>
      <c r="Q32" s="91"/>
      <c r="R32" s="91"/>
      <c r="S32" s="91"/>
      <c r="T32" s="91"/>
      <c r="U32" s="91"/>
      <c r="V32" s="91"/>
      <c r="W32" s="91"/>
      <c r="X32" s="117" t="str">
        <f>Sheet1!B54&amp;""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 t="str">
        <f>Sheet1!A57</f>
        <v/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Sheet1!C57&amp;""</f>
        <v/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Sheet1!C58&amp;""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 t="str">
        <f>AA6</f>
        <v/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Sheet1!B57</f>
        <v/>
      </c>
      <c r="AH16" s="27"/>
      <c r="AI16" s="27"/>
      <c r="AJ16" s="27"/>
      <c r="AK16" s="27"/>
      <c r="AL16" s="88" t="s">
        <v>62</v>
      </c>
      <c r="AM16" s="87" t="str">
        <f>Sheet1!B58</f>
        <v/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Sheet1!D57&amp;""</f>
        <v/>
      </c>
      <c r="C20" s="70"/>
      <c r="D20" s="70"/>
      <c r="E20" s="70"/>
      <c r="F20" s="70"/>
      <c r="G20" s="70"/>
      <c r="H20" s="70"/>
      <c r="I20" s="98" t="str">
        <f>Sheet1!F57&amp;""</f>
        <v/>
      </c>
      <c r="J20" s="70"/>
      <c r="K20" s="70"/>
      <c r="L20" s="70"/>
      <c r="M20" s="70"/>
      <c r="N20" s="70"/>
      <c r="O20" s="70"/>
      <c r="P20" s="70"/>
      <c r="Q20" s="34"/>
      <c r="R20" s="33" t="str">
        <f>Sheet1!H57&amp;""</f>
        <v/>
      </c>
      <c r="S20" s="70"/>
      <c r="T20" s="70"/>
      <c r="U20" s="70"/>
      <c r="V20" s="70"/>
      <c r="W20" s="34"/>
      <c r="X20" s="33" t="str">
        <f>Sheet1!J57&amp;""</f>
        <v/>
      </c>
      <c r="Y20" s="70"/>
      <c r="Z20" s="70"/>
      <c r="AA20" s="70"/>
      <c r="AB20" s="70"/>
      <c r="AC20" s="70"/>
      <c r="AD20" s="34"/>
      <c r="AE20" s="135" t="str">
        <f>Sheet1!L57&amp;""</f>
        <v/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Sheet1!D58&amp;""</f>
        <v/>
      </c>
      <c r="C21" s="70"/>
      <c r="D21" s="70"/>
      <c r="E21" s="70"/>
      <c r="F21" s="70"/>
      <c r="G21" s="70"/>
      <c r="H21" s="70"/>
      <c r="I21" s="33" t="str">
        <f>Sheet1!F58&amp;""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Sheet1!H58&amp;""</f>
        <v/>
      </c>
      <c r="S21" s="70"/>
      <c r="T21" s="70"/>
      <c r="U21" s="70"/>
      <c r="V21" s="70"/>
      <c r="W21" s="34"/>
      <c r="X21" s="33" t="str">
        <f>Sheet1!J58&amp;""</f>
        <v/>
      </c>
      <c r="Y21" s="70"/>
      <c r="Z21" s="70"/>
      <c r="AA21" s="70"/>
      <c r="AB21" s="70"/>
      <c r="AC21" s="70"/>
      <c r="AD21" s="34"/>
      <c r="AE21" s="101" t="str">
        <f>Sheet1!L58&amp;""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Sheet1!D59&amp;""</f>
        <v/>
      </c>
      <c r="C22" s="70"/>
      <c r="D22" s="70"/>
      <c r="E22" s="70"/>
      <c r="F22" s="70"/>
      <c r="G22" s="70"/>
      <c r="H22" s="70"/>
      <c r="I22" s="33" t="str">
        <f>Sheet1!F59&amp;""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Sheet1!H59&amp;""</f>
        <v/>
      </c>
      <c r="S22" s="70"/>
      <c r="T22" s="70"/>
      <c r="U22" s="70"/>
      <c r="V22" s="70"/>
      <c r="W22" s="34"/>
      <c r="X22" s="33" t="str">
        <f>Sheet1!J59&amp;""</f>
        <v/>
      </c>
      <c r="Y22" s="70"/>
      <c r="Z22" s="70"/>
      <c r="AA22" s="70"/>
      <c r="AB22" s="70"/>
      <c r="AC22" s="70"/>
      <c r="AD22" s="34"/>
      <c r="AE22" s="101" t="str">
        <f>Sheet1!L59&amp;""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Sheet1!D60&amp;""</f>
        <v/>
      </c>
      <c r="C23" s="70"/>
      <c r="D23" s="70"/>
      <c r="E23" s="70"/>
      <c r="F23" s="70"/>
      <c r="G23" s="70"/>
      <c r="H23" s="70"/>
      <c r="I23" s="33" t="str">
        <f>Sheet1!F60&amp;""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Sheet1!H60&amp;""</f>
        <v/>
      </c>
      <c r="S23" s="70"/>
      <c r="T23" s="70"/>
      <c r="U23" s="70"/>
      <c r="V23" s="70"/>
      <c r="W23" s="34"/>
      <c r="X23" s="33" t="str">
        <f>Sheet1!J60&amp;""</f>
        <v/>
      </c>
      <c r="Y23" s="70"/>
      <c r="Z23" s="70"/>
      <c r="AA23" s="70"/>
      <c r="AB23" s="70"/>
      <c r="AC23" s="70"/>
      <c r="AD23" s="34"/>
      <c r="AE23" s="101" t="str">
        <f>Sheet1!L60&amp;""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Sheet1!D61&amp;""</f>
        <v/>
      </c>
      <c r="C24" s="70"/>
      <c r="D24" s="70"/>
      <c r="E24" s="70"/>
      <c r="F24" s="70"/>
      <c r="G24" s="70"/>
      <c r="H24" s="70"/>
      <c r="I24" s="33" t="str">
        <f>Sheet1!F61&amp;""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Sheet1!H61&amp;""</f>
        <v/>
      </c>
      <c r="S24" s="70"/>
      <c r="T24" s="70"/>
      <c r="U24" s="70"/>
      <c r="V24" s="70"/>
      <c r="W24" s="34"/>
      <c r="X24" s="33" t="str">
        <f>Sheet1!J61&amp;""</f>
        <v/>
      </c>
      <c r="Y24" s="70"/>
      <c r="Z24" s="70"/>
      <c r="AA24" s="70"/>
      <c r="AB24" s="70"/>
      <c r="AC24" s="70"/>
      <c r="AD24" s="34"/>
      <c r="AE24" s="101" t="str">
        <f>Sheet1!L61&amp;""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Sheet1!D62&amp;""</f>
        <v/>
      </c>
      <c r="C25" s="105"/>
      <c r="D25" s="105"/>
      <c r="E25" s="105"/>
      <c r="F25" s="105"/>
      <c r="G25" s="105"/>
      <c r="H25" s="105"/>
      <c r="I25" s="104" t="str">
        <f>Sheet1!F62&amp;""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Sheet1!H62&amp;""</f>
        <v/>
      </c>
      <c r="S25" s="105"/>
      <c r="T25" s="105"/>
      <c r="U25" s="105"/>
      <c r="V25" s="105"/>
      <c r="W25" s="106"/>
      <c r="X25" s="104" t="str">
        <f>Sheet1!J62&amp;""</f>
        <v/>
      </c>
      <c r="Y25" s="105"/>
      <c r="Z25" s="105"/>
      <c r="AA25" s="105"/>
      <c r="AB25" s="105"/>
      <c r="AC25" s="105"/>
      <c r="AD25" s="106"/>
      <c r="AE25" s="128" t="str">
        <f>Sheet1!L62&amp;""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Sheet1!N56&amp;""</f>
        <v>【駆除作業報告】
対象害虫/害獣：
処理方法：
備考：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Sheet1!A59&amp;""</f>
        <v/>
      </c>
      <c r="C31" s="70"/>
      <c r="D31" s="70"/>
      <c r="E31" s="70"/>
      <c r="F31" s="70"/>
      <c r="G31" s="34"/>
      <c r="H31" s="33" t="str">
        <f>Sheet1!A60&amp;""</f>
        <v/>
      </c>
      <c r="I31" s="70"/>
      <c r="J31" s="70"/>
      <c r="K31" s="70"/>
      <c r="L31" s="70"/>
      <c r="M31" s="70"/>
      <c r="N31" s="70"/>
      <c r="O31" s="34"/>
      <c r="P31" s="115" t="str">
        <f>Sheet1!A61&amp;""</f>
        <v/>
      </c>
      <c r="Q31" s="70"/>
      <c r="R31" s="70"/>
      <c r="S31" s="70"/>
      <c r="T31" s="70"/>
      <c r="U31" s="70"/>
      <c r="V31" s="70"/>
      <c r="W31" s="70"/>
      <c r="X31" s="33" t="str">
        <f>Sheet1!A62&amp;""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Sheet1!B59&amp;""</f>
        <v/>
      </c>
      <c r="C32" s="91"/>
      <c r="D32" s="91"/>
      <c r="E32" s="91"/>
      <c r="F32" s="91"/>
      <c r="G32" s="91"/>
      <c r="H32" s="117" t="str">
        <f>Sheet1!B60&amp;""</f>
        <v/>
      </c>
      <c r="I32" s="91"/>
      <c r="J32" s="91"/>
      <c r="K32" s="91"/>
      <c r="L32" s="91"/>
      <c r="M32" s="91"/>
      <c r="N32" s="91"/>
      <c r="O32" s="92"/>
      <c r="P32" s="118" t="str">
        <f>Sheet1!B61&amp;""</f>
        <v/>
      </c>
      <c r="Q32" s="91"/>
      <c r="R32" s="91"/>
      <c r="S32" s="91"/>
      <c r="T32" s="91"/>
      <c r="U32" s="91"/>
      <c r="V32" s="91"/>
      <c r="W32" s="91"/>
      <c r="X32" s="117" t="str">
        <f>Sheet1!B62&amp;""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 t="str">
        <f>Sheet1!A65</f>
        <v/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Sheet1!C65&amp;""</f>
        <v/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Sheet1!C66&amp;""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 t="str">
        <f>AA6</f>
        <v/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Sheet1!B65</f>
        <v/>
      </c>
      <c r="AH16" s="27"/>
      <c r="AI16" s="27"/>
      <c r="AJ16" s="27"/>
      <c r="AK16" s="27"/>
      <c r="AL16" s="88" t="s">
        <v>62</v>
      </c>
      <c r="AM16" s="87" t="str">
        <f>Sheet1!B66</f>
        <v/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Sheet1!D65&amp;""</f>
        <v/>
      </c>
      <c r="C20" s="70"/>
      <c r="D20" s="70"/>
      <c r="E20" s="70"/>
      <c r="F20" s="70"/>
      <c r="G20" s="70"/>
      <c r="H20" s="70"/>
      <c r="I20" s="98" t="str">
        <f>Sheet1!F65&amp;""</f>
        <v/>
      </c>
      <c r="J20" s="70"/>
      <c r="K20" s="70"/>
      <c r="L20" s="70"/>
      <c r="M20" s="70"/>
      <c r="N20" s="70"/>
      <c r="O20" s="70"/>
      <c r="P20" s="70"/>
      <c r="Q20" s="34"/>
      <c r="R20" s="33" t="str">
        <f>Sheet1!H65&amp;""</f>
        <v/>
      </c>
      <c r="S20" s="70"/>
      <c r="T20" s="70"/>
      <c r="U20" s="70"/>
      <c r="V20" s="70"/>
      <c r="W20" s="34"/>
      <c r="X20" s="33" t="str">
        <f>Sheet1!J65&amp;""</f>
        <v/>
      </c>
      <c r="Y20" s="70"/>
      <c r="Z20" s="70"/>
      <c r="AA20" s="70"/>
      <c r="AB20" s="70"/>
      <c r="AC20" s="70"/>
      <c r="AD20" s="34"/>
      <c r="AE20" s="99" t="str">
        <f>Sheet1!L65&amp;""</f>
        <v/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Sheet1!D66&amp;""</f>
        <v/>
      </c>
      <c r="C21" s="70"/>
      <c r="D21" s="70"/>
      <c r="E21" s="70"/>
      <c r="F21" s="70"/>
      <c r="G21" s="70"/>
      <c r="H21" s="70"/>
      <c r="I21" s="33" t="str">
        <f>Sheet1!F66&amp;""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Sheet1!H66&amp;""</f>
        <v/>
      </c>
      <c r="S21" s="70"/>
      <c r="T21" s="70"/>
      <c r="U21" s="70"/>
      <c r="V21" s="70"/>
      <c r="W21" s="34"/>
      <c r="X21" s="33" t="str">
        <f>Sheet1!J66&amp;""</f>
        <v/>
      </c>
      <c r="Y21" s="70"/>
      <c r="Z21" s="70"/>
      <c r="AA21" s="70"/>
      <c r="AB21" s="70"/>
      <c r="AC21" s="70"/>
      <c r="AD21" s="34"/>
      <c r="AE21" s="99" t="str">
        <f>Sheet1!L66&amp;""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Sheet1!D67&amp;""</f>
        <v/>
      </c>
      <c r="C22" s="70"/>
      <c r="D22" s="70"/>
      <c r="E22" s="70"/>
      <c r="F22" s="70"/>
      <c r="G22" s="70"/>
      <c r="H22" s="70"/>
      <c r="I22" s="33" t="str">
        <f>Sheet1!F67&amp;""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Sheet1!H67&amp;""</f>
        <v/>
      </c>
      <c r="S22" s="70"/>
      <c r="T22" s="70"/>
      <c r="U22" s="70"/>
      <c r="V22" s="70"/>
      <c r="W22" s="34"/>
      <c r="X22" s="33" t="str">
        <f>Sheet1!J67&amp;""</f>
        <v/>
      </c>
      <c r="Y22" s="70"/>
      <c r="Z22" s="70"/>
      <c r="AA22" s="70"/>
      <c r="AB22" s="70"/>
      <c r="AC22" s="70"/>
      <c r="AD22" s="34"/>
      <c r="AE22" s="101" t="str">
        <f>Sheet1!L67&amp;""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Sheet1!D68&amp;""</f>
        <v/>
      </c>
      <c r="C23" s="70"/>
      <c r="D23" s="70"/>
      <c r="E23" s="70"/>
      <c r="F23" s="70"/>
      <c r="G23" s="70"/>
      <c r="H23" s="70"/>
      <c r="I23" s="33" t="str">
        <f>Sheet1!F68&amp;""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Sheet1!H68&amp;""</f>
        <v/>
      </c>
      <c r="S23" s="70"/>
      <c r="T23" s="70"/>
      <c r="U23" s="70"/>
      <c r="V23" s="70"/>
      <c r="W23" s="34"/>
      <c r="X23" s="33" t="str">
        <f>Sheet1!J68&amp;""</f>
        <v/>
      </c>
      <c r="Y23" s="70"/>
      <c r="Z23" s="70"/>
      <c r="AA23" s="70"/>
      <c r="AB23" s="70"/>
      <c r="AC23" s="70"/>
      <c r="AD23" s="34"/>
      <c r="AE23" s="101" t="str">
        <f>Sheet1!L68&amp;""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Sheet1!D69&amp;""</f>
        <v/>
      </c>
      <c r="C24" s="70"/>
      <c r="D24" s="70"/>
      <c r="E24" s="70"/>
      <c r="F24" s="70"/>
      <c r="G24" s="70"/>
      <c r="H24" s="70"/>
      <c r="I24" s="33" t="str">
        <f>Sheet1!F69&amp;""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Sheet1!H69&amp;""</f>
        <v/>
      </c>
      <c r="S24" s="70"/>
      <c r="T24" s="70"/>
      <c r="U24" s="70"/>
      <c r="V24" s="70"/>
      <c r="W24" s="34"/>
      <c r="X24" s="33" t="str">
        <f>Sheet1!J69&amp;""</f>
        <v/>
      </c>
      <c r="Y24" s="70"/>
      <c r="Z24" s="70"/>
      <c r="AA24" s="70"/>
      <c r="AB24" s="70"/>
      <c r="AC24" s="70"/>
      <c r="AD24" s="34"/>
      <c r="AE24" s="101" t="str">
        <f>Sheet1!L69&amp;""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Sheet1!D70&amp;""</f>
        <v/>
      </c>
      <c r="C25" s="105"/>
      <c r="D25" s="105"/>
      <c r="E25" s="105"/>
      <c r="F25" s="105"/>
      <c r="G25" s="105"/>
      <c r="H25" s="105"/>
      <c r="I25" s="104" t="str">
        <f>Sheet1!F70&amp;""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Sheet1!H70&amp;""</f>
        <v/>
      </c>
      <c r="S25" s="105"/>
      <c r="T25" s="105"/>
      <c r="U25" s="105"/>
      <c r="V25" s="105"/>
      <c r="W25" s="106"/>
      <c r="X25" s="104" t="str">
        <f>Sheet1!J70&amp;""</f>
        <v/>
      </c>
      <c r="Y25" s="105"/>
      <c r="Z25" s="105"/>
      <c r="AA25" s="105"/>
      <c r="AB25" s="105"/>
      <c r="AC25" s="105"/>
      <c r="AD25" s="106"/>
      <c r="AE25" s="128" t="str">
        <f>Sheet1!L70&amp;""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Sheet1!N64&amp;""</f>
        <v>【駆除作業報告】
対象害虫/害獣：
処理方法：
備考：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Sheet1!A67&amp;""</f>
        <v/>
      </c>
      <c r="C31" s="70"/>
      <c r="D31" s="70"/>
      <c r="E31" s="70"/>
      <c r="F31" s="70"/>
      <c r="G31" s="70"/>
      <c r="H31" s="33" t="str">
        <f>Sheet1!A68&amp;""</f>
        <v/>
      </c>
      <c r="I31" s="70"/>
      <c r="J31" s="70"/>
      <c r="K31" s="70"/>
      <c r="L31" s="70"/>
      <c r="M31" s="70"/>
      <c r="N31" s="70"/>
      <c r="O31" s="34"/>
      <c r="P31" s="115" t="str">
        <f>Sheet1!A69&amp;""</f>
        <v/>
      </c>
      <c r="Q31" s="70"/>
      <c r="R31" s="70"/>
      <c r="S31" s="70"/>
      <c r="T31" s="70"/>
      <c r="U31" s="70"/>
      <c r="V31" s="70"/>
      <c r="W31" s="70"/>
      <c r="X31" s="33" t="str">
        <f>Sheet1!A70&amp;""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Sheet1!B67&amp;""</f>
        <v/>
      </c>
      <c r="C32" s="91"/>
      <c r="D32" s="91"/>
      <c r="E32" s="91"/>
      <c r="F32" s="91"/>
      <c r="G32" s="91"/>
      <c r="H32" s="117" t="str">
        <f>Sheet1!B68&amp;""</f>
        <v/>
      </c>
      <c r="I32" s="91"/>
      <c r="J32" s="91"/>
      <c r="K32" s="91"/>
      <c r="L32" s="91"/>
      <c r="M32" s="91"/>
      <c r="N32" s="91"/>
      <c r="O32" s="92"/>
      <c r="P32" s="118" t="str">
        <f>Sheet1!B69&amp;""</f>
        <v/>
      </c>
      <c r="Q32" s="91"/>
      <c r="R32" s="91"/>
      <c r="S32" s="91"/>
      <c r="T32" s="91"/>
      <c r="U32" s="91"/>
      <c r="V32" s="91"/>
      <c r="W32" s="91"/>
      <c r="X32" s="117" t="str">
        <f>Sheet1!B70&amp;""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paperSize="9" scale="10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 t="str">
        <f>Sheet1!A73</f>
        <v/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Sheet1!C73&amp;""</f>
        <v/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Sheet1!C74&amp;""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 t="str">
        <f>AA6</f>
        <v/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Sheet1!B73</f>
        <v/>
      </c>
      <c r="AH16" s="27"/>
      <c r="AI16" s="27"/>
      <c r="AJ16" s="27"/>
      <c r="AK16" s="27"/>
      <c r="AL16" s="88" t="s">
        <v>62</v>
      </c>
      <c r="AM16" s="87" t="str">
        <f>Sheet1!B74</f>
        <v/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Sheet1!D73&amp;""</f>
        <v/>
      </c>
      <c r="C20" s="70"/>
      <c r="D20" s="70"/>
      <c r="E20" s="70"/>
      <c r="F20" s="70"/>
      <c r="G20" s="70"/>
      <c r="H20" s="70"/>
      <c r="I20" s="98" t="str">
        <f>Sheet1!F73&amp;""</f>
        <v/>
      </c>
      <c r="J20" s="70"/>
      <c r="K20" s="70"/>
      <c r="L20" s="70"/>
      <c r="M20" s="70"/>
      <c r="N20" s="70"/>
      <c r="O20" s="70"/>
      <c r="P20" s="70"/>
      <c r="Q20" s="34"/>
      <c r="R20" s="33" t="str">
        <f>Sheet1!H73&amp;""</f>
        <v/>
      </c>
      <c r="S20" s="70"/>
      <c r="T20" s="70"/>
      <c r="U20" s="70"/>
      <c r="V20" s="70"/>
      <c r="W20" s="34"/>
      <c r="X20" s="33" t="str">
        <f>Sheet1!J73&amp;""</f>
        <v/>
      </c>
      <c r="Y20" s="70"/>
      <c r="Z20" s="70"/>
      <c r="AA20" s="70"/>
      <c r="AB20" s="70"/>
      <c r="AC20" s="70"/>
      <c r="AD20" s="34"/>
      <c r="AE20" s="135" t="str">
        <f>Sheet1!L73&amp;""</f>
        <v/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Sheet1!D74&amp;""</f>
        <v/>
      </c>
      <c r="C21" s="70"/>
      <c r="D21" s="70"/>
      <c r="E21" s="70"/>
      <c r="F21" s="70"/>
      <c r="G21" s="70"/>
      <c r="H21" s="70"/>
      <c r="I21" s="33" t="str">
        <f>Sheet1!F74&amp;""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Sheet1!H74&amp;""</f>
        <v/>
      </c>
      <c r="S21" s="70"/>
      <c r="T21" s="70"/>
      <c r="U21" s="70"/>
      <c r="V21" s="70"/>
      <c r="W21" s="34"/>
      <c r="X21" s="33" t="str">
        <f>Sheet1!J74&amp;""</f>
        <v/>
      </c>
      <c r="Y21" s="70"/>
      <c r="Z21" s="70"/>
      <c r="AA21" s="70"/>
      <c r="AB21" s="70"/>
      <c r="AC21" s="70"/>
      <c r="AD21" s="34"/>
      <c r="AE21" s="126" t="str">
        <f>Sheet1!L74&amp;""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Sheet1!D75&amp;""</f>
        <v/>
      </c>
      <c r="C22" s="70"/>
      <c r="D22" s="70"/>
      <c r="E22" s="70"/>
      <c r="F22" s="70"/>
      <c r="G22" s="70"/>
      <c r="H22" s="70"/>
      <c r="I22" s="33" t="str">
        <f>Sheet1!F75&amp;""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Sheet1!H75&amp;""</f>
        <v/>
      </c>
      <c r="S22" s="70"/>
      <c r="T22" s="70"/>
      <c r="U22" s="70"/>
      <c r="V22" s="70"/>
      <c r="W22" s="34"/>
      <c r="X22" s="33" t="str">
        <f>Sheet1!J75&amp;""</f>
        <v/>
      </c>
      <c r="Y22" s="70"/>
      <c r="Z22" s="70"/>
      <c r="AA22" s="70"/>
      <c r="AB22" s="70"/>
      <c r="AC22" s="70"/>
      <c r="AD22" s="34"/>
      <c r="AE22" s="135" t="str">
        <f>Sheet1!L75&amp;""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Sheet1!D76&amp;""</f>
        <v/>
      </c>
      <c r="C23" s="70"/>
      <c r="D23" s="70"/>
      <c r="E23" s="70"/>
      <c r="F23" s="70"/>
      <c r="G23" s="70"/>
      <c r="H23" s="70"/>
      <c r="I23" s="33" t="str">
        <f>Sheet1!F76&amp;""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Sheet1!H76&amp;""</f>
        <v/>
      </c>
      <c r="S23" s="70"/>
      <c r="T23" s="70"/>
      <c r="U23" s="70"/>
      <c r="V23" s="70"/>
      <c r="W23" s="34"/>
      <c r="X23" s="33" t="str">
        <f>Sheet1!J76&amp;""</f>
        <v/>
      </c>
      <c r="Y23" s="70"/>
      <c r="Z23" s="70"/>
      <c r="AA23" s="70"/>
      <c r="AB23" s="70"/>
      <c r="AC23" s="70"/>
      <c r="AD23" s="34"/>
      <c r="AE23" s="101" t="str">
        <f>Sheet1!L76&amp;""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Sheet1!D77&amp;""</f>
        <v/>
      </c>
      <c r="C24" s="70"/>
      <c r="D24" s="70"/>
      <c r="E24" s="70"/>
      <c r="F24" s="70"/>
      <c r="G24" s="70"/>
      <c r="H24" s="70"/>
      <c r="I24" s="33" t="str">
        <f>Sheet1!F77&amp;""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Sheet1!H77&amp;""</f>
        <v/>
      </c>
      <c r="S24" s="70"/>
      <c r="T24" s="70"/>
      <c r="U24" s="70"/>
      <c r="V24" s="70"/>
      <c r="W24" s="34"/>
      <c r="X24" s="33" t="str">
        <f>Sheet1!J77&amp;""</f>
        <v/>
      </c>
      <c r="Y24" s="70"/>
      <c r="Z24" s="70"/>
      <c r="AA24" s="70"/>
      <c r="AB24" s="70"/>
      <c r="AC24" s="70"/>
      <c r="AD24" s="34"/>
      <c r="AE24" s="101" t="str">
        <f>Sheet1!L77&amp;""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Sheet1!D78&amp;""</f>
        <v/>
      </c>
      <c r="C25" s="105"/>
      <c r="D25" s="105"/>
      <c r="E25" s="105"/>
      <c r="F25" s="105"/>
      <c r="G25" s="105"/>
      <c r="H25" s="105"/>
      <c r="I25" s="104" t="str">
        <f>Sheet1!F78&amp;""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Sheet1!H78&amp;""</f>
        <v/>
      </c>
      <c r="S25" s="105"/>
      <c r="T25" s="105"/>
      <c r="U25" s="105"/>
      <c r="V25" s="105"/>
      <c r="W25" s="106"/>
      <c r="X25" s="104" t="str">
        <f>Sheet1!J78&amp;""</f>
        <v/>
      </c>
      <c r="Y25" s="105"/>
      <c r="Z25" s="105"/>
      <c r="AA25" s="105"/>
      <c r="AB25" s="105"/>
      <c r="AC25" s="105"/>
      <c r="AD25" s="106"/>
      <c r="AE25" s="128" t="str">
        <f>Sheet1!L78&amp;""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Sheet1!N72&amp;""</f>
        <v>【駆除作業報告】
対象害虫/害獣：
処理方法：
備考：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Sheet1!A75&amp;""</f>
        <v/>
      </c>
      <c r="C31" s="70"/>
      <c r="D31" s="70"/>
      <c r="E31" s="70"/>
      <c r="F31" s="70"/>
      <c r="G31" s="70"/>
      <c r="H31" s="33" t="str">
        <f>Sheet1!A76&amp;""</f>
        <v/>
      </c>
      <c r="I31" s="70"/>
      <c r="J31" s="70"/>
      <c r="K31" s="70"/>
      <c r="L31" s="70"/>
      <c r="M31" s="70"/>
      <c r="N31" s="70"/>
      <c r="O31" s="34"/>
      <c r="P31" s="115" t="str">
        <f>Sheet1!A77&amp;""</f>
        <v/>
      </c>
      <c r="Q31" s="70"/>
      <c r="R31" s="70"/>
      <c r="S31" s="70"/>
      <c r="T31" s="70"/>
      <c r="U31" s="70"/>
      <c r="V31" s="70"/>
      <c r="W31" s="70"/>
      <c r="X31" s="33" t="str">
        <f>Sheet1!A78&amp;""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Sheet1!B75&amp;""</f>
        <v/>
      </c>
      <c r="C32" s="91"/>
      <c r="D32" s="91"/>
      <c r="E32" s="91"/>
      <c r="F32" s="91"/>
      <c r="G32" s="91"/>
      <c r="H32" s="117" t="str">
        <f>Sheet1!B76&amp;""</f>
        <v/>
      </c>
      <c r="I32" s="91"/>
      <c r="J32" s="91"/>
      <c r="K32" s="91"/>
      <c r="L32" s="91"/>
      <c r="M32" s="91"/>
      <c r="N32" s="91"/>
      <c r="O32" s="92"/>
      <c r="P32" s="118" t="str">
        <f>Sheet1!B77&amp;""</f>
        <v/>
      </c>
      <c r="Q32" s="91"/>
      <c r="R32" s="91"/>
      <c r="S32" s="91"/>
      <c r="T32" s="91"/>
      <c r="U32" s="91"/>
      <c r="V32" s="91"/>
      <c r="W32" s="91"/>
      <c r="X32" s="117" t="str">
        <f>Sheet1!B78&amp;""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paperSize="9" scale="10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 t="str">
        <f>Sheet1!A81</f>
        <v/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Sheet1!C81&amp;""</f>
        <v/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Sheet1!C82&amp;""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 t="str">
        <f>AA6</f>
        <v/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Sheet1!B81</f>
        <v/>
      </c>
      <c r="AH16" s="27"/>
      <c r="AI16" s="27"/>
      <c r="AJ16" s="27"/>
      <c r="AK16" s="27"/>
      <c r="AL16" s="88" t="s">
        <v>62</v>
      </c>
      <c r="AM16" s="87" t="str">
        <f>Sheet1!B82</f>
        <v/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Sheet1!D81&amp;""</f>
        <v/>
      </c>
      <c r="C20" s="70"/>
      <c r="D20" s="70"/>
      <c r="E20" s="70"/>
      <c r="F20" s="70"/>
      <c r="G20" s="70"/>
      <c r="H20" s="70"/>
      <c r="I20" s="33" t="str">
        <f>Sheet1!F81&amp;""</f>
        <v/>
      </c>
      <c r="J20" s="70"/>
      <c r="K20" s="70"/>
      <c r="L20" s="70"/>
      <c r="M20" s="70"/>
      <c r="N20" s="70"/>
      <c r="O20" s="70"/>
      <c r="P20" s="70"/>
      <c r="Q20" s="34"/>
      <c r="R20" s="33" t="str">
        <f>Sheet1!H81&amp;""</f>
        <v/>
      </c>
      <c r="S20" s="70"/>
      <c r="T20" s="70"/>
      <c r="U20" s="70"/>
      <c r="V20" s="70"/>
      <c r="W20" s="34"/>
      <c r="X20" s="33" t="str">
        <f>Sheet1!J81&amp;""</f>
        <v/>
      </c>
      <c r="Y20" s="70"/>
      <c r="Z20" s="70"/>
      <c r="AA20" s="70"/>
      <c r="AB20" s="70"/>
      <c r="AC20" s="70"/>
      <c r="AD20" s="34"/>
      <c r="AE20" s="101" t="str">
        <f>Sheet1!L81&amp;""</f>
        <v/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Sheet1!D82&amp;""</f>
        <v/>
      </c>
      <c r="C21" s="70"/>
      <c r="D21" s="70"/>
      <c r="E21" s="70"/>
      <c r="F21" s="70"/>
      <c r="G21" s="70"/>
      <c r="H21" s="70"/>
      <c r="I21" s="33" t="str">
        <f>Sheet1!F82&amp;""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Sheet1!H82&amp;""</f>
        <v/>
      </c>
      <c r="S21" s="70"/>
      <c r="T21" s="70"/>
      <c r="U21" s="70"/>
      <c r="V21" s="70"/>
      <c r="W21" s="34"/>
      <c r="X21" s="33" t="str">
        <f>Sheet1!J82&amp;""</f>
        <v/>
      </c>
      <c r="Y21" s="70"/>
      <c r="Z21" s="70"/>
      <c r="AA21" s="70"/>
      <c r="AB21" s="70"/>
      <c r="AC21" s="70"/>
      <c r="AD21" s="34"/>
      <c r="AE21" s="101" t="str">
        <f>Sheet1!L82&amp;""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Sheet1!D83&amp;""</f>
        <v/>
      </c>
      <c r="C22" s="70"/>
      <c r="D22" s="70"/>
      <c r="E22" s="70"/>
      <c r="F22" s="70"/>
      <c r="G22" s="70"/>
      <c r="H22" s="70"/>
      <c r="I22" s="33" t="str">
        <f>Sheet1!F83&amp;""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Sheet1!H83&amp;""</f>
        <v/>
      </c>
      <c r="S22" s="70"/>
      <c r="T22" s="70"/>
      <c r="U22" s="70"/>
      <c r="V22" s="70"/>
      <c r="W22" s="34"/>
      <c r="X22" s="33" t="str">
        <f>Sheet1!J83&amp;""</f>
        <v/>
      </c>
      <c r="Y22" s="70"/>
      <c r="Z22" s="70"/>
      <c r="AA22" s="70"/>
      <c r="AB22" s="70"/>
      <c r="AC22" s="70"/>
      <c r="AD22" s="34"/>
      <c r="AE22" s="101" t="str">
        <f>Sheet1!L83&amp;""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Sheet1!D84&amp;""</f>
        <v/>
      </c>
      <c r="C23" s="70"/>
      <c r="D23" s="70"/>
      <c r="E23" s="70"/>
      <c r="F23" s="70"/>
      <c r="G23" s="70"/>
      <c r="H23" s="70"/>
      <c r="I23" s="33" t="str">
        <f>Sheet1!F84&amp;""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Sheet1!H84&amp;""</f>
        <v/>
      </c>
      <c r="S23" s="70"/>
      <c r="T23" s="70"/>
      <c r="U23" s="70"/>
      <c r="V23" s="70"/>
      <c r="W23" s="34"/>
      <c r="X23" s="33" t="str">
        <f>Sheet1!J84&amp;""</f>
        <v/>
      </c>
      <c r="Y23" s="70"/>
      <c r="Z23" s="70"/>
      <c r="AA23" s="70"/>
      <c r="AB23" s="70"/>
      <c r="AC23" s="70"/>
      <c r="AD23" s="34"/>
      <c r="AE23" s="101" t="str">
        <f>Sheet1!L84&amp;""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Sheet1!D85&amp;""</f>
        <v/>
      </c>
      <c r="C24" s="70"/>
      <c r="D24" s="70"/>
      <c r="E24" s="70"/>
      <c r="F24" s="70"/>
      <c r="G24" s="70"/>
      <c r="H24" s="70"/>
      <c r="I24" s="33" t="str">
        <f>Sheet1!F85&amp;""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Sheet1!H85&amp;""</f>
        <v/>
      </c>
      <c r="S24" s="70"/>
      <c r="T24" s="70"/>
      <c r="U24" s="70"/>
      <c r="V24" s="70"/>
      <c r="W24" s="34"/>
      <c r="X24" s="33" t="str">
        <f>Sheet1!J85&amp;""</f>
        <v/>
      </c>
      <c r="Y24" s="70"/>
      <c r="Z24" s="70"/>
      <c r="AA24" s="70"/>
      <c r="AB24" s="70"/>
      <c r="AC24" s="70"/>
      <c r="AD24" s="34"/>
      <c r="AE24" s="101" t="str">
        <f>Sheet1!L85&amp;""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Sheet1!D86&amp;""</f>
        <v/>
      </c>
      <c r="C25" s="105"/>
      <c r="D25" s="105"/>
      <c r="E25" s="105"/>
      <c r="F25" s="105"/>
      <c r="G25" s="105"/>
      <c r="H25" s="105"/>
      <c r="I25" s="104" t="str">
        <f>Sheet1!F86&amp;""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Sheet1!H86&amp;""</f>
        <v/>
      </c>
      <c r="S25" s="105"/>
      <c r="T25" s="105"/>
      <c r="U25" s="105"/>
      <c r="V25" s="105"/>
      <c r="W25" s="106"/>
      <c r="X25" s="104" t="str">
        <f>Sheet1!J86&amp;""</f>
        <v/>
      </c>
      <c r="Y25" s="105"/>
      <c r="Z25" s="105"/>
      <c r="AA25" s="105"/>
      <c r="AB25" s="105"/>
      <c r="AC25" s="105"/>
      <c r="AD25" s="106"/>
      <c r="AE25" s="128" t="str">
        <f>Sheet1!L86&amp;""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Sheet1!N80&amp;""</f>
        <v>【駆除作業報告】
対象害虫/害獣：
処理方法：
備考：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Sheet1!A83&amp;""</f>
        <v/>
      </c>
      <c r="C31" s="70"/>
      <c r="D31" s="70"/>
      <c r="E31" s="70"/>
      <c r="F31" s="70"/>
      <c r="G31" s="70"/>
      <c r="H31" s="33" t="str">
        <f>Sheet1!A84&amp;""</f>
        <v/>
      </c>
      <c r="I31" s="70"/>
      <c r="J31" s="70"/>
      <c r="K31" s="70"/>
      <c r="L31" s="70"/>
      <c r="M31" s="70"/>
      <c r="N31" s="70"/>
      <c r="O31" s="34"/>
      <c r="P31" s="115" t="str">
        <f>Sheet1!A85&amp;""</f>
        <v/>
      </c>
      <c r="Q31" s="70"/>
      <c r="R31" s="70"/>
      <c r="S31" s="70"/>
      <c r="T31" s="70"/>
      <c r="U31" s="70"/>
      <c r="V31" s="70"/>
      <c r="W31" s="70"/>
      <c r="X31" s="33" t="str">
        <f>Sheet1!A86&amp;""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Sheet1!B83&amp;""</f>
        <v/>
      </c>
      <c r="C32" s="91"/>
      <c r="D32" s="91"/>
      <c r="E32" s="91"/>
      <c r="F32" s="91"/>
      <c r="G32" s="91"/>
      <c r="H32" s="117" t="str">
        <f>Sheet1!B84&amp;""</f>
        <v/>
      </c>
      <c r="I32" s="91"/>
      <c r="J32" s="91"/>
      <c r="K32" s="91"/>
      <c r="L32" s="91"/>
      <c r="M32" s="91"/>
      <c r="N32" s="91"/>
      <c r="O32" s="92"/>
      <c r="P32" s="118" t="str">
        <f>Sheet1!B85&amp;""</f>
        <v/>
      </c>
      <c r="Q32" s="91"/>
      <c r="R32" s="91"/>
      <c r="S32" s="91"/>
      <c r="T32" s="91"/>
      <c r="U32" s="91"/>
      <c r="V32" s="91"/>
      <c r="W32" s="91"/>
      <c r="X32" s="117" t="str">
        <f>Sheet1!B86&amp;""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 t="str">
        <f>Sheet1!A89</f>
        <v/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Sheet1!C89&amp;""</f>
        <v/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Sheet1!C90&amp;""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 t="str">
        <f>AA6</f>
        <v/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 t="str">
        <f>Sheet1!B89</f>
        <v/>
      </c>
      <c r="AH16" s="27"/>
      <c r="AI16" s="27"/>
      <c r="AJ16" s="27"/>
      <c r="AK16" s="27"/>
      <c r="AL16" s="88" t="s">
        <v>62</v>
      </c>
      <c r="AM16" s="87" t="str">
        <f>Sheet1!B90</f>
        <v/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Sheet1!D89&amp;""</f>
        <v/>
      </c>
      <c r="C20" s="70"/>
      <c r="D20" s="70"/>
      <c r="E20" s="70"/>
      <c r="F20" s="70"/>
      <c r="G20" s="70"/>
      <c r="H20" s="70"/>
      <c r="I20" s="33" t="str">
        <f>Sheet1!F89&amp;""</f>
        <v/>
      </c>
      <c r="J20" s="70"/>
      <c r="K20" s="70"/>
      <c r="L20" s="70"/>
      <c r="M20" s="70"/>
      <c r="N20" s="70"/>
      <c r="O20" s="70"/>
      <c r="P20" s="70"/>
      <c r="Q20" s="34"/>
      <c r="R20" s="33" t="str">
        <f>Sheet1!H89&amp;""</f>
        <v/>
      </c>
      <c r="S20" s="70"/>
      <c r="T20" s="70"/>
      <c r="U20" s="70"/>
      <c r="V20" s="70"/>
      <c r="W20" s="34"/>
      <c r="X20" s="33" t="str">
        <f>Sheet1!J89&amp;""</f>
        <v/>
      </c>
      <c r="Y20" s="70"/>
      <c r="Z20" s="70"/>
      <c r="AA20" s="70"/>
      <c r="AB20" s="70"/>
      <c r="AC20" s="70"/>
      <c r="AD20" s="34"/>
      <c r="AE20" s="101" t="str">
        <f>Sheet1!L89&amp;""</f>
        <v/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Sheet1!D90&amp;""</f>
        <v/>
      </c>
      <c r="C21" s="70"/>
      <c r="D21" s="70"/>
      <c r="E21" s="70"/>
      <c r="F21" s="70"/>
      <c r="G21" s="70"/>
      <c r="H21" s="70"/>
      <c r="I21" s="33" t="str">
        <f>Sheet1!F90&amp;""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Sheet1!H90&amp;""</f>
        <v/>
      </c>
      <c r="S21" s="70"/>
      <c r="T21" s="70"/>
      <c r="U21" s="70"/>
      <c r="V21" s="70"/>
      <c r="W21" s="34"/>
      <c r="X21" s="33" t="str">
        <f>Sheet1!J90&amp;""</f>
        <v/>
      </c>
      <c r="Y21" s="70"/>
      <c r="Z21" s="70"/>
      <c r="AA21" s="70"/>
      <c r="AB21" s="70"/>
      <c r="AC21" s="70"/>
      <c r="AD21" s="34"/>
      <c r="AE21" s="101" t="str">
        <f>Sheet1!L90&amp;""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Sheet1!D91&amp;""</f>
        <v/>
      </c>
      <c r="C22" s="70"/>
      <c r="D22" s="70"/>
      <c r="E22" s="70"/>
      <c r="F22" s="70"/>
      <c r="G22" s="70"/>
      <c r="H22" s="70"/>
      <c r="I22" s="33" t="str">
        <f>Sheet1!F91&amp;""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Sheet1!H91&amp;""</f>
        <v/>
      </c>
      <c r="S22" s="70"/>
      <c r="T22" s="70"/>
      <c r="U22" s="70"/>
      <c r="V22" s="70"/>
      <c r="W22" s="34"/>
      <c r="X22" s="33" t="str">
        <f>Sheet1!J91&amp;""</f>
        <v/>
      </c>
      <c r="Y22" s="70"/>
      <c r="Z22" s="70"/>
      <c r="AA22" s="70"/>
      <c r="AB22" s="70"/>
      <c r="AC22" s="70"/>
      <c r="AD22" s="34"/>
      <c r="AE22" s="101" t="str">
        <f>Sheet1!L91&amp;""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Sheet1!D92&amp;""</f>
        <v/>
      </c>
      <c r="C23" s="70"/>
      <c r="D23" s="70"/>
      <c r="E23" s="70"/>
      <c r="F23" s="70"/>
      <c r="G23" s="70"/>
      <c r="H23" s="70"/>
      <c r="I23" s="33" t="str">
        <f>Sheet1!F92&amp;""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Sheet1!H92&amp;""</f>
        <v/>
      </c>
      <c r="S23" s="70"/>
      <c r="T23" s="70"/>
      <c r="U23" s="70"/>
      <c r="V23" s="70"/>
      <c r="W23" s="34"/>
      <c r="X23" s="33" t="str">
        <f>Sheet1!J92&amp;""</f>
        <v/>
      </c>
      <c r="Y23" s="70"/>
      <c r="Z23" s="70"/>
      <c r="AA23" s="70"/>
      <c r="AB23" s="70"/>
      <c r="AC23" s="70"/>
      <c r="AD23" s="34"/>
      <c r="AE23" s="101" t="str">
        <f>Sheet1!L92&amp;""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Sheet1!D93&amp;""</f>
        <v/>
      </c>
      <c r="C24" s="70"/>
      <c r="D24" s="70"/>
      <c r="E24" s="70"/>
      <c r="F24" s="70"/>
      <c r="G24" s="70"/>
      <c r="H24" s="70"/>
      <c r="I24" s="33" t="str">
        <f>Sheet1!F93&amp;""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Sheet1!H93&amp;""</f>
        <v/>
      </c>
      <c r="S24" s="70"/>
      <c r="T24" s="70"/>
      <c r="U24" s="70"/>
      <c r="V24" s="70"/>
      <c r="W24" s="34"/>
      <c r="X24" s="33" t="str">
        <f>Sheet1!J93&amp;""</f>
        <v/>
      </c>
      <c r="Y24" s="70"/>
      <c r="Z24" s="70"/>
      <c r="AA24" s="70"/>
      <c r="AB24" s="70"/>
      <c r="AC24" s="70"/>
      <c r="AD24" s="34"/>
      <c r="AE24" s="101" t="str">
        <f>Sheet1!L93&amp;""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Sheet1!D94&amp;""</f>
        <v/>
      </c>
      <c r="C25" s="105"/>
      <c r="D25" s="105"/>
      <c r="E25" s="105"/>
      <c r="F25" s="105"/>
      <c r="G25" s="105"/>
      <c r="H25" s="105"/>
      <c r="I25" s="104" t="str">
        <f>Sheet1!F94&amp;""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Sheet1!H94&amp;""</f>
        <v/>
      </c>
      <c r="S25" s="105"/>
      <c r="T25" s="105"/>
      <c r="U25" s="105"/>
      <c r="V25" s="105"/>
      <c r="W25" s="106"/>
      <c r="X25" s="104" t="str">
        <f>Sheet1!J94&amp;""</f>
        <v/>
      </c>
      <c r="Y25" s="105"/>
      <c r="Z25" s="105"/>
      <c r="AA25" s="105"/>
      <c r="AB25" s="105"/>
      <c r="AC25" s="105"/>
      <c r="AD25" s="106"/>
      <c r="AE25" s="128" t="str">
        <f>Sheet1!L94&amp;""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Sheet1!N88&amp;""</f>
        <v>【駆除作業報告】
対象害虫/害獣：
処理方法：
備考：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Sheet1!A91&amp;""</f>
        <v/>
      </c>
      <c r="C31" s="70"/>
      <c r="D31" s="70"/>
      <c r="E31" s="70"/>
      <c r="F31" s="70"/>
      <c r="G31" s="70"/>
      <c r="H31" s="33" t="str">
        <f>Sheet1!A92&amp;""</f>
        <v/>
      </c>
      <c r="I31" s="70"/>
      <c r="J31" s="70"/>
      <c r="K31" s="70"/>
      <c r="L31" s="70"/>
      <c r="M31" s="70"/>
      <c r="N31" s="70"/>
      <c r="O31" s="34"/>
      <c r="P31" s="115" t="str">
        <f>Sheet1!A93&amp;""</f>
        <v/>
      </c>
      <c r="Q31" s="70"/>
      <c r="R31" s="70"/>
      <c r="S31" s="70"/>
      <c r="T31" s="70"/>
      <c r="U31" s="70"/>
      <c r="V31" s="70"/>
      <c r="W31" s="70"/>
      <c r="X31" s="33" t="str">
        <f>Sheet1!A94&amp;""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Sheet1!B91&amp;""</f>
        <v/>
      </c>
      <c r="C32" s="91"/>
      <c r="D32" s="91"/>
      <c r="E32" s="91"/>
      <c r="F32" s="91"/>
      <c r="G32" s="91"/>
      <c r="H32" s="117" t="str">
        <f>Sheet1!B92&amp;""</f>
        <v/>
      </c>
      <c r="I32" s="91"/>
      <c r="J32" s="91"/>
      <c r="K32" s="91"/>
      <c r="L32" s="91"/>
      <c r="M32" s="91"/>
      <c r="N32" s="91"/>
      <c r="O32" s="92"/>
      <c r="P32" s="118" t="str">
        <f>Sheet1!B93&amp;""</f>
        <v/>
      </c>
      <c r="Q32" s="91"/>
      <c r="R32" s="91"/>
      <c r="S32" s="91"/>
      <c r="T32" s="91"/>
      <c r="U32" s="91"/>
      <c r="V32" s="91"/>
      <c r="W32" s="91"/>
      <c r="X32" s="117" t="str">
        <f>Sheet1!B94&amp;""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88"/>
    <col customWidth="1" min="3" max="3" width="1.88"/>
    <col customWidth="1" min="4" max="6" width="0.75"/>
    <col customWidth="1" min="7" max="7" width="5.88"/>
    <col customWidth="1" min="8" max="8" width="1.88"/>
    <col customWidth="1" min="9" max="11" width="0.75"/>
    <col customWidth="1" min="12" max="12" width="1.25"/>
    <col customWidth="1" min="13" max="13" width="1.13"/>
    <col customWidth="1" min="14" max="14" width="3.25"/>
    <col customWidth="1" min="15" max="15" width="1.88"/>
    <col customWidth="1" min="16" max="18" width="0.75"/>
    <col customWidth="1" min="19" max="19" width="1.13"/>
    <col customWidth="1" min="20" max="20" width="2.63"/>
    <col customWidth="1" min="21" max="21" width="2.88"/>
    <col customWidth="1" min="22" max="22" width="2.0"/>
    <col customWidth="1" min="23" max="23" width="1.88"/>
    <col customWidth="1" min="24" max="24" width="0.75"/>
    <col customWidth="1" min="25" max="25" width="1.5"/>
    <col customWidth="1" min="26" max="26" width="3.75"/>
    <col customWidth="1" min="27" max="27" width="4.5"/>
    <col customWidth="1" min="28" max="28" width="1.88"/>
    <col customWidth="1" min="29" max="31" width="0.75"/>
    <col customWidth="1" min="32" max="32" width="3.0"/>
    <col customWidth="1" min="33" max="33" width="2.13"/>
    <col customWidth="1" min="34" max="34" width="1.5"/>
    <col customWidth="1" min="35" max="35" width="2.0"/>
    <col customWidth="1" min="36" max="36" width="1.88"/>
    <col customWidth="1" min="37" max="37" width="0.75"/>
    <col customWidth="1" min="38" max="38" width="2.13"/>
    <col customWidth="1" min="39" max="39" width="1.13"/>
    <col customWidth="1" min="40" max="40" width="1.88"/>
    <col customWidth="1" min="41" max="41" width="1.13"/>
    <col customWidth="1" min="42" max="42" width="3.0"/>
  </cols>
  <sheetData>
    <row r="1" ht="12.75" customHeight="1"/>
    <row r="2" ht="12.75" customHeight="1">
      <c r="B2" s="56" t="s">
        <v>51</v>
      </c>
    </row>
    <row r="3" ht="18.7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23.25" customHeight="1">
      <c r="B4" s="58" t="s">
        <v>52</v>
      </c>
      <c r="C4" s="58"/>
      <c r="D4" s="58"/>
      <c r="E4" s="58"/>
      <c r="F4" s="58"/>
      <c r="G4" s="58"/>
      <c r="H4" s="59" t="s">
        <v>53</v>
      </c>
      <c r="AG4" s="59"/>
      <c r="AH4" s="60" t="s">
        <v>54</v>
      </c>
      <c r="AM4" s="57"/>
    </row>
    <row r="5" ht="11.25" customHeight="1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ht="20.25" customHeight="1">
      <c r="B6" s="61" t="str">
        <f>Sheet1!C22&amp;""</f>
        <v>心行寺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62">
        <f>Sheet1!A97</f>
        <v>46082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6.5" customHeight="1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 t="str">
        <f>Sheet1!F22&amp;""</f>
        <v>御中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9.7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67"/>
      <c r="AP8" s="68"/>
    </row>
    <row r="9" ht="18.75" customHeight="1">
      <c r="B9" s="69" t="s">
        <v>55</v>
      </c>
      <c r="C9" s="70"/>
      <c r="D9" s="70"/>
      <c r="E9" s="70"/>
      <c r="F9" s="34"/>
      <c r="G9" s="71" t="s">
        <v>56</v>
      </c>
      <c r="H9" s="70"/>
      <c r="I9" s="70"/>
      <c r="J9" s="70"/>
      <c r="K9" s="70"/>
      <c r="L9" s="70"/>
      <c r="M9" s="70"/>
      <c r="N9" s="3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72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8"/>
      <c r="AO9" s="8"/>
      <c r="AP9" s="73"/>
    </row>
    <row r="10" ht="18.0" customHeight="1">
      <c r="B10" s="69" t="s">
        <v>57</v>
      </c>
      <c r="C10" s="70"/>
      <c r="D10" s="70"/>
      <c r="E10" s="70"/>
      <c r="F10" s="34"/>
      <c r="G10" s="74" t="str">
        <f>Sheet1!C97&amp;""</f>
        <v>紺谷直人</v>
      </c>
      <c r="H10" s="70"/>
      <c r="I10" s="70"/>
      <c r="J10" s="70"/>
      <c r="K10" s="70"/>
      <c r="L10" s="70"/>
      <c r="M10" s="70"/>
      <c r="N10" s="3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72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8"/>
      <c r="AO10" s="8"/>
      <c r="AP10" s="73"/>
    </row>
    <row r="11" ht="12.75" customHeight="1">
      <c r="B11" s="75" t="s">
        <v>58</v>
      </c>
      <c r="F11" s="47"/>
      <c r="G11" s="76" t="str">
        <f>Sheet1!C98&amp;""</f>
        <v/>
      </c>
      <c r="N11" s="4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72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8"/>
      <c r="AO11" s="8"/>
      <c r="AP11" s="73"/>
    </row>
    <row r="12" ht="27.75" customHeight="1">
      <c r="B12" s="77"/>
      <c r="C12" s="25"/>
      <c r="D12" s="25"/>
      <c r="E12" s="25"/>
      <c r="F12" s="38"/>
      <c r="G12" s="77"/>
      <c r="H12" s="25"/>
      <c r="I12" s="25"/>
      <c r="J12" s="25"/>
      <c r="K12" s="25"/>
      <c r="L12" s="25"/>
      <c r="M12" s="25"/>
      <c r="N12" s="3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78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11"/>
      <c r="AO12" s="11"/>
      <c r="AP12" s="80"/>
    </row>
    <row r="13" ht="9.0" customHeight="1">
      <c r="B13" s="8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ht="12.75" customHeight="1">
      <c r="B14" s="82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1"/>
      <c r="AK14" s="81"/>
      <c r="AL14" s="81"/>
      <c r="AM14" s="81"/>
    </row>
    <row r="15" ht="13.5" customHeight="1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ht="25.5" customHeight="1">
      <c r="B16" s="83" t="s">
        <v>60</v>
      </c>
      <c r="C16" s="27"/>
      <c r="D16" s="27"/>
      <c r="E16" s="27"/>
      <c r="F16" s="27"/>
      <c r="G16" s="27"/>
      <c r="H16" s="27"/>
      <c r="I16" s="27"/>
      <c r="J16" s="27"/>
      <c r="K16" s="28"/>
      <c r="L16" s="84">
        <f>AA6</f>
        <v>46082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85"/>
      <c r="AB16" s="86" t="s">
        <v>61</v>
      </c>
      <c r="AC16" s="27"/>
      <c r="AD16" s="27"/>
      <c r="AE16" s="27"/>
      <c r="AF16" s="27"/>
      <c r="AG16" s="87">
        <f>Sheet1!B97</f>
        <v>0.375</v>
      </c>
      <c r="AH16" s="27"/>
      <c r="AI16" s="27"/>
      <c r="AJ16" s="27"/>
      <c r="AK16" s="27"/>
      <c r="AL16" s="88" t="s">
        <v>62</v>
      </c>
      <c r="AM16" s="87">
        <f>Sheet1!B98</f>
        <v>0.4166666667</v>
      </c>
      <c r="AN16" s="27"/>
      <c r="AO16" s="27"/>
      <c r="AP16" s="89"/>
    </row>
    <row r="17" ht="25.5" customHeight="1">
      <c r="B17" s="90" t="s">
        <v>63</v>
      </c>
      <c r="C17" s="91"/>
      <c r="D17" s="91"/>
      <c r="E17" s="91"/>
      <c r="F17" s="91"/>
      <c r="G17" s="91"/>
      <c r="H17" s="91"/>
      <c r="I17" s="91"/>
      <c r="J17" s="91"/>
      <c r="K17" s="92"/>
      <c r="L17" s="93" t="str">
        <f>Sheet1!C23&amp;""</f>
        <v>江東区南砂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34"/>
    </row>
    <row r="18" ht="24.75" customHeight="1">
      <c r="B18" s="94" t="s">
        <v>64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ht="21.0" customHeight="1">
      <c r="B19" s="96" t="s">
        <v>21</v>
      </c>
      <c r="C19" s="27"/>
      <c r="D19" s="27"/>
      <c r="E19" s="27"/>
      <c r="F19" s="27"/>
      <c r="G19" s="27"/>
      <c r="H19" s="27"/>
      <c r="I19" s="26" t="s">
        <v>22</v>
      </c>
      <c r="J19" s="27"/>
      <c r="K19" s="27"/>
      <c r="L19" s="27"/>
      <c r="M19" s="27"/>
      <c r="N19" s="27"/>
      <c r="O19" s="27"/>
      <c r="P19" s="27"/>
      <c r="Q19" s="28"/>
      <c r="R19" s="26" t="s">
        <v>23</v>
      </c>
      <c r="S19" s="27"/>
      <c r="T19" s="27"/>
      <c r="U19" s="27"/>
      <c r="V19" s="27"/>
      <c r="W19" s="28"/>
      <c r="X19" s="26" t="s">
        <v>24</v>
      </c>
      <c r="Y19" s="27"/>
      <c r="Z19" s="27"/>
      <c r="AA19" s="27"/>
      <c r="AB19" s="27"/>
      <c r="AC19" s="27"/>
      <c r="AD19" s="28"/>
      <c r="AE19" s="86" t="s">
        <v>25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89"/>
    </row>
    <row r="20" ht="24.0" customHeight="1">
      <c r="B20" s="97" t="str">
        <f>Sheet1!D97&amp;""</f>
        <v>ゴキブリ</v>
      </c>
      <c r="C20" s="70"/>
      <c r="D20" s="70"/>
      <c r="E20" s="70"/>
      <c r="F20" s="70"/>
      <c r="G20" s="70"/>
      <c r="H20" s="70"/>
      <c r="I20" s="33" t="str">
        <f>Sheet1!F97&amp;""</f>
        <v>ヒドラメチルノン</v>
      </c>
      <c r="J20" s="70"/>
      <c r="K20" s="70"/>
      <c r="L20" s="70"/>
      <c r="M20" s="70"/>
      <c r="N20" s="70"/>
      <c r="O20" s="70"/>
      <c r="P20" s="70"/>
      <c r="Q20" s="34"/>
      <c r="R20" s="33" t="str">
        <f>Sheet1!H97&amp;""</f>
        <v>配置</v>
      </c>
      <c r="S20" s="70"/>
      <c r="T20" s="70"/>
      <c r="U20" s="70"/>
      <c r="V20" s="70"/>
      <c r="W20" s="34"/>
      <c r="X20" s="33" t="str">
        <f>Sheet1!J97&amp;""</f>
        <v>10ｇ</v>
      </c>
      <c r="Y20" s="70"/>
      <c r="Z20" s="70"/>
      <c r="AA20" s="70"/>
      <c r="AB20" s="70"/>
      <c r="AC20" s="70"/>
      <c r="AD20" s="34"/>
      <c r="AE20" s="101" t="str">
        <f>Sheet1!L97&amp;""</f>
        <v>生息なし</v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00"/>
    </row>
    <row r="21" ht="24.0" customHeight="1">
      <c r="B21" s="97" t="str">
        <f>Sheet1!D98&amp;""</f>
        <v/>
      </c>
      <c r="C21" s="70"/>
      <c r="D21" s="70"/>
      <c r="E21" s="70"/>
      <c r="F21" s="70"/>
      <c r="G21" s="70"/>
      <c r="H21" s="70"/>
      <c r="I21" s="33" t="str">
        <f>Sheet1!F98&amp;""</f>
        <v/>
      </c>
      <c r="J21" s="70"/>
      <c r="K21" s="70"/>
      <c r="L21" s="70"/>
      <c r="M21" s="70"/>
      <c r="N21" s="70"/>
      <c r="O21" s="70"/>
      <c r="P21" s="70"/>
      <c r="Q21" s="34"/>
      <c r="R21" s="33" t="str">
        <f>Sheet1!H98&amp;""</f>
        <v/>
      </c>
      <c r="S21" s="70"/>
      <c r="T21" s="70"/>
      <c r="U21" s="70"/>
      <c r="V21" s="70"/>
      <c r="W21" s="34"/>
      <c r="X21" s="33" t="str">
        <f>Sheet1!J98&amp;""</f>
        <v/>
      </c>
      <c r="Y21" s="70"/>
      <c r="Z21" s="70"/>
      <c r="AA21" s="70"/>
      <c r="AB21" s="70"/>
      <c r="AC21" s="70"/>
      <c r="AD21" s="34"/>
      <c r="AE21" s="101" t="str">
        <f>Sheet1!L98&amp;""</f>
        <v/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00"/>
    </row>
    <row r="22" ht="24.0" customHeight="1">
      <c r="B22" s="97" t="str">
        <f>Sheet1!D99&amp;""</f>
        <v/>
      </c>
      <c r="C22" s="70"/>
      <c r="D22" s="70"/>
      <c r="E22" s="70"/>
      <c r="F22" s="70"/>
      <c r="G22" s="70"/>
      <c r="H22" s="70"/>
      <c r="I22" s="33" t="str">
        <f>Sheet1!F99&amp;""</f>
        <v/>
      </c>
      <c r="J22" s="70"/>
      <c r="K22" s="70"/>
      <c r="L22" s="70"/>
      <c r="M22" s="70"/>
      <c r="N22" s="70"/>
      <c r="O22" s="70"/>
      <c r="P22" s="70"/>
      <c r="Q22" s="34"/>
      <c r="R22" s="33" t="str">
        <f>Sheet1!H99&amp;""</f>
        <v/>
      </c>
      <c r="S22" s="70"/>
      <c r="T22" s="70"/>
      <c r="U22" s="70"/>
      <c r="V22" s="70"/>
      <c r="W22" s="34"/>
      <c r="X22" s="33" t="str">
        <f>Sheet1!J99&amp;""</f>
        <v/>
      </c>
      <c r="Y22" s="70"/>
      <c r="Z22" s="70"/>
      <c r="AA22" s="70"/>
      <c r="AB22" s="70"/>
      <c r="AC22" s="70"/>
      <c r="AD22" s="34"/>
      <c r="AE22" s="101" t="str">
        <f>Sheet1!L99&amp;""</f>
        <v/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00"/>
    </row>
    <row r="23" ht="24.0" customHeight="1">
      <c r="B23" s="97" t="str">
        <f>Sheet1!D100&amp;""</f>
        <v/>
      </c>
      <c r="C23" s="70"/>
      <c r="D23" s="70"/>
      <c r="E23" s="70"/>
      <c r="F23" s="70"/>
      <c r="G23" s="70"/>
      <c r="H23" s="70"/>
      <c r="I23" s="33" t="str">
        <f>Sheet1!F100&amp;""</f>
        <v/>
      </c>
      <c r="J23" s="70"/>
      <c r="K23" s="70"/>
      <c r="L23" s="70"/>
      <c r="M23" s="70"/>
      <c r="N23" s="70"/>
      <c r="O23" s="70"/>
      <c r="P23" s="70"/>
      <c r="Q23" s="34"/>
      <c r="R23" s="33" t="str">
        <f>Sheet1!H100&amp;""</f>
        <v/>
      </c>
      <c r="S23" s="70"/>
      <c r="T23" s="70"/>
      <c r="U23" s="70"/>
      <c r="V23" s="70"/>
      <c r="W23" s="34"/>
      <c r="X23" s="33" t="str">
        <f>Sheet1!J100&amp;""</f>
        <v/>
      </c>
      <c r="Y23" s="70"/>
      <c r="Z23" s="70"/>
      <c r="AA23" s="70"/>
      <c r="AB23" s="70"/>
      <c r="AC23" s="70"/>
      <c r="AD23" s="34"/>
      <c r="AE23" s="101" t="str">
        <f>Sheet1!L100&amp;""</f>
        <v/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00"/>
    </row>
    <row r="24" ht="24.0" customHeight="1">
      <c r="B24" s="97" t="str">
        <f>Sheet1!D101&amp;""</f>
        <v/>
      </c>
      <c r="C24" s="70"/>
      <c r="D24" s="70"/>
      <c r="E24" s="70"/>
      <c r="F24" s="70"/>
      <c r="G24" s="70"/>
      <c r="H24" s="70"/>
      <c r="I24" s="33" t="str">
        <f>Sheet1!F101&amp;""</f>
        <v/>
      </c>
      <c r="J24" s="70"/>
      <c r="K24" s="70"/>
      <c r="L24" s="70"/>
      <c r="M24" s="70"/>
      <c r="N24" s="70"/>
      <c r="O24" s="70"/>
      <c r="P24" s="70"/>
      <c r="Q24" s="34"/>
      <c r="R24" s="33" t="str">
        <f>Sheet1!H101&amp;""</f>
        <v/>
      </c>
      <c r="S24" s="70"/>
      <c r="T24" s="70"/>
      <c r="U24" s="70"/>
      <c r="V24" s="70"/>
      <c r="W24" s="34"/>
      <c r="X24" s="33" t="str">
        <f>Sheet1!J101&amp;""</f>
        <v/>
      </c>
      <c r="Y24" s="70"/>
      <c r="Z24" s="70"/>
      <c r="AA24" s="70"/>
      <c r="AB24" s="70"/>
      <c r="AC24" s="70"/>
      <c r="AD24" s="34"/>
      <c r="AE24" s="101" t="str">
        <f>Sheet1!L101&amp;""</f>
        <v/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00"/>
    </row>
    <row r="25" ht="24.0" customHeight="1">
      <c r="B25" s="127" t="str">
        <f>Sheet1!D102&amp;""</f>
        <v/>
      </c>
      <c r="C25" s="105"/>
      <c r="D25" s="105"/>
      <c r="E25" s="105"/>
      <c r="F25" s="105"/>
      <c r="G25" s="105"/>
      <c r="H25" s="105"/>
      <c r="I25" s="104" t="str">
        <f>Sheet1!F102&amp;""</f>
        <v/>
      </c>
      <c r="J25" s="105"/>
      <c r="K25" s="105"/>
      <c r="L25" s="105"/>
      <c r="M25" s="105"/>
      <c r="N25" s="105"/>
      <c r="O25" s="105"/>
      <c r="P25" s="105"/>
      <c r="Q25" s="106"/>
      <c r="R25" s="104" t="str">
        <f>Sheet1!H102&amp;""</f>
        <v/>
      </c>
      <c r="S25" s="105"/>
      <c r="T25" s="105"/>
      <c r="U25" s="105"/>
      <c r="V25" s="105"/>
      <c r="W25" s="106"/>
      <c r="X25" s="104" t="str">
        <f>Sheet1!J102&amp;""</f>
        <v/>
      </c>
      <c r="Y25" s="105"/>
      <c r="Z25" s="105"/>
      <c r="AA25" s="105"/>
      <c r="AB25" s="105"/>
      <c r="AC25" s="105"/>
      <c r="AD25" s="106"/>
      <c r="AE25" s="128" t="str">
        <f>Sheet1!L102&amp;""</f>
        <v/>
      </c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29"/>
    </row>
    <row r="26" ht="24.0" customHeight="1">
      <c r="B26" s="109" t="str">
        <f>Sheet1!N96&amp;""</f>
        <v>【駆除作業報告】
対象害虫/害獣：ゴキブリ
処理方法：配置
備考：生息なし
以上、施工完了しました。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10"/>
    </row>
    <row r="27" ht="24.0" customHeight="1">
      <c r="B27" s="111"/>
      <c r="AP27" s="108"/>
    </row>
    <row r="28" ht="24.0" customHeight="1">
      <c r="B28" s="111"/>
      <c r="AP28" s="108"/>
    </row>
    <row r="29" ht="24.0" customHeight="1">
      <c r="B29" s="11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113"/>
    </row>
    <row r="30" ht="24.0" customHeight="1">
      <c r="B30" s="102" t="s">
        <v>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114"/>
    </row>
    <row r="31" ht="24.0" customHeight="1">
      <c r="B31" s="97" t="str">
        <f>Sheet1!A99&amp;""</f>
        <v>ゴキブリ</v>
      </c>
      <c r="C31" s="70"/>
      <c r="D31" s="70"/>
      <c r="E31" s="70"/>
      <c r="F31" s="70"/>
      <c r="G31" s="70"/>
      <c r="H31" s="33" t="str">
        <f>Sheet1!A100&amp;""</f>
        <v/>
      </c>
      <c r="I31" s="70"/>
      <c r="J31" s="70"/>
      <c r="K31" s="70"/>
      <c r="L31" s="70"/>
      <c r="M31" s="70"/>
      <c r="N31" s="70"/>
      <c r="O31" s="34"/>
      <c r="P31" s="115" t="str">
        <f>Sheet1!A101&amp;""</f>
        <v/>
      </c>
      <c r="Q31" s="70"/>
      <c r="R31" s="70"/>
      <c r="S31" s="70"/>
      <c r="T31" s="70"/>
      <c r="U31" s="70"/>
      <c r="V31" s="70"/>
      <c r="W31" s="70"/>
      <c r="X31" s="33" t="str">
        <f>Sheet1!A102&amp;""</f>
        <v/>
      </c>
      <c r="Y31" s="70"/>
      <c r="Z31" s="70"/>
      <c r="AA31" s="70"/>
      <c r="AB31" s="70"/>
      <c r="AC31" s="24"/>
      <c r="AD31" s="25"/>
      <c r="AE31" s="25"/>
      <c r="AF31" s="25"/>
      <c r="AG31" s="25"/>
      <c r="AH31" s="25"/>
      <c r="AI31" s="25"/>
      <c r="AJ31" s="33"/>
      <c r="AK31" s="70"/>
      <c r="AL31" s="70"/>
      <c r="AM31" s="70"/>
      <c r="AN31" s="70"/>
      <c r="AO31" s="70"/>
      <c r="AP31" s="100"/>
    </row>
    <row r="32" ht="24.0" customHeight="1">
      <c r="B32" s="116" t="str">
        <f>Sheet1!B99&amp;""</f>
        <v>＋</v>
      </c>
      <c r="C32" s="91"/>
      <c r="D32" s="91"/>
      <c r="E32" s="91"/>
      <c r="F32" s="91"/>
      <c r="G32" s="91"/>
      <c r="H32" s="117" t="str">
        <f>Sheet1!B100&amp;""</f>
        <v/>
      </c>
      <c r="I32" s="91"/>
      <c r="J32" s="91"/>
      <c r="K32" s="91"/>
      <c r="L32" s="91"/>
      <c r="M32" s="91"/>
      <c r="N32" s="91"/>
      <c r="O32" s="92"/>
      <c r="P32" s="118" t="str">
        <f>Sheet1!B101&amp;""</f>
        <v/>
      </c>
      <c r="Q32" s="91"/>
      <c r="R32" s="91"/>
      <c r="S32" s="91"/>
      <c r="T32" s="91"/>
      <c r="U32" s="91"/>
      <c r="V32" s="91"/>
      <c r="W32" s="91"/>
      <c r="X32" s="117" t="str">
        <f>Sheet1!B102&amp;""</f>
        <v/>
      </c>
      <c r="Y32" s="91"/>
      <c r="Z32" s="91"/>
      <c r="AA32" s="91"/>
      <c r="AB32" s="91"/>
      <c r="AC32" s="119"/>
      <c r="AD32" s="91"/>
      <c r="AE32" s="91"/>
      <c r="AF32" s="91"/>
      <c r="AG32" s="91"/>
      <c r="AH32" s="91"/>
      <c r="AI32" s="92"/>
      <c r="AJ32" s="119"/>
      <c r="AK32" s="91"/>
      <c r="AL32" s="91"/>
      <c r="AM32" s="91"/>
      <c r="AN32" s="91"/>
      <c r="AO32" s="91"/>
      <c r="AP32" s="120"/>
    </row>
    <row r="33" ht="18.75" customHeight="1">
      <c r="B33" s="57"/>
      <c r="C33" s="81" t="s">
        <v>66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121" t="s">
        <v>67</v>
      </c>
      <c r="AA33" s="95"/>
      <c r="AB33" s="95"/>
      <c r="AC33" s="122"/>
      <c r="AD33" s="123" t="s">
        <v>68</v>
      </c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10"/>
    </row>
    <row r="34" ht="17.25" customHeight="1">
      <c r="B34" s="57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112"/>
      <c r="AA34" s="63"/>
      <c r="AB34" s="63"/>
      <c r="AC34" s="124"/>
      <c r="AD34" s="125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113"/>
    </row>
    <row r="35" ht="13.5" customHeight="1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I23:Q23"/>
    <mergeCell ref="R23:W23"/>
    <mergeCell ref="B24:H24"/>
    <mergeCell ref="I24:Q24"/>
    <mergeCell ref="R24:W24"/>
    <mergeCell ref="X24:AD24"/>
    <mergeCell ref="B25:H25"/>
    <mergeCell ref="X25:AD25"/>
    <mergeCell ref="P31:W31"/>
    <mergeCell ref="X31:AB31"/>
    <mergeCell ref="Z33:AC34"/>
    <mergeCell ref="AC31:AI31"/>
    <mergeCell ref="AJ31:AP31"/>
    <mergeCell ref="AD33:AP34"/>
    <mergeCell ref="B32:G32"/>
    <mergeCell ref="H32:O32"/>
    <mergeCell ref="P32:W32"/>
    <mergeCell ref="X32:AB32"/>
    <mergeCell ref="AC32:AI32"/>
    <mergeCell ref="AJ32:AP32"/>
    <mergeCell ref="I25:Q25"/>
    <mergeCell ref="R25:W25"/>
    <mergeCell ref="AE25:AP25"/>
    <mergeCell ref="B26:AP29"/>
    <mergeCell ref="B30:AP30"/>
    <mergeCell ref="B31:G31"/>
    <mergeCell ref="H31:O31"/>
    <mergeCell ref="B2:AO2"/>
    <mergeCell ref="H4:AF4"/>
    <mergeCell ref="AH4:AL4"/>
    <mergeCell ref="B6:P7"/>
    <mergeCell ref="AA6:AP6"/>
    <mergeCell ref="Q7:T7"/>
    <mergeCell ref="G9:N9"/>
    <mergeCell ref="B9:F9"/>
    <mergeCell ref="B10:F10"/>
    <mergeCell ref="G10:N10"/>
    <mergeCell ref="B11:F12"/>
    <mergeCell ref="G11:N12"/>
    <mergeCell ref="B16:K16"/>
    <mergeCell ref="L16:Z16"/>
    <mergeCell ref="B17:K17"/>
    <mergeCell ref="R19:W19"/>
    <mergeCell ref="X19:AD19"/>
    <mergeCell ref="X20:AD20"/>
    <mergeCell ref="AE20:AP20"/>
    <mergeCell ref="AE21:AP21"/>
    <mergeCell ref="AB16:AF16"/>
    <mergeCell ref="AG16:AK16"/>
    <mergeCell ref="AM16:AP16"/>
    <mergeCell ref="L17:AP17"/>
    <mergeCell ref="B18:AP18"/>
    <mergeCell ref="I19:Q19"/>
    <mergeCell ref="AE19:AP19"/>
    <mergeCell ref="B19:H19"/>
    <mergeCell ref="B20:H20"/>
    <mergeCell ref="I20:Q20"/>
    <mergeCell ref="R20:W20"/>
    <mergeCell ref="I21:Q21"/>
    <mergeCell ref="R21:W21"/>
    <mergeCell ref="X21:AD21"/>
    <mergeCell ref="X23:AD23"/>
    <mergeCell ref="AE23:AP23"/>
    <mergeCell ref="AE24:AP24"/>
    <mergeCell ref="B21:H21"/>
    <mergeCell ref="B22:H22"/>
    <mergeCell ref="I22:Q22"/>
    <mergeCell ref="R22:W22"/>
    <mergeCell ref="X22:AD22"/>
    <mergeCell ref="AE22:AP22"/>
    <mergeCell ref="B23:H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2006-04-17T06:20:44Z</dcterms:created>
</cp:coreProperties>
</file>